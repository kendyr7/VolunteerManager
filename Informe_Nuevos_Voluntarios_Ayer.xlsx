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2E83F9C-82AF-42DB-A114-4407E2893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 por Comité" sheetId="1" r:id="rId1"/>
    <sheet name="Voluntarios Ingresados Ayer" sheetId="2" r:id="rId2"/>
    <sheet name="Histórico Diar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I20" i="1"/>
  <c r="E20" i="1"/>
  <c r="H16" i="1" s="1"/>
  <c r="D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H11" i="1" l="1"/>
  <c r="H15" i="1"/>
  <c r="F20" i="1"/>
  <c r="H19" i="1"/>
  <c r="G20" i="1"/>
  <c r="H17" i="1"/>
  <c r="H12" i="1"/>
  <c r="H13" i="1"/>
  <c r="H14" i="1"/>
  <c r="H18" i="1"/>
  <c r="H20" i="1" l="1"/>
</calcChain>
</file>

<file path=xl/sharedStrings.xml><?xml version="1.0" encoding="utf-8"?>
<sst xmlns="http://schemas.openxmlformats.org/spreadsheetml/2006/main" count="773" uniqueCount="396">
  <si>
    <t>INFORME COMPLETO DE INGRESOS - VOLUNTEER MANAGER</t>
  </si>
  <si>
    <t>Corte de Nuevos Ingresos: Domingo, 16 de Agosto de 2026 (Día de Ayer) • Zona Horaria: America/Managua (UTC-6)</t>
  </si>
  <si>
    <t>VOLUNTARIOS ANTES DE AYER</t>
  </si>
  <si>
    <t>NUEVOS INGRESOS AYER</t>
  </si>
  <si>
    <t>CRECIMIENTO PORCENTUAL</t>
  </si>
  <si>
    <t>TOTAL HASTA AYER</t>
  </si>
  <si>
    <t>Base al 15 de Agosto</t>
  </si>
  <si>
    <t>Domingo 16 de Agosto</t>
  </si>
  <si>
    <t>Aumento neto sobre la base</t>
  </si>
  <si>
    <t>826 con registros de hoy</t>
  </si>
  <si>
    <t>1. RESUMEN POR COMITÉ (ASIGNACIÓN DIRECTA EN BASE DE DATOS)</t>
  </si>
  <si>
    <t>N°</t>
  </si>
  <si>
    <t>Comité</t>
  </si>
  <si>
    <t>Antes de Ayer (&lt; 16 Ago)</t>
  </si>
  <si>
    <t>Nuevos Ayer (16 Ago)</t>
  </si>
  <si>
    <t>Total Hasta Ayer</t>
  </si>
  <si>
    <t>% Incremento</t>
  </si>
  <si>
    <t>% Participación</t>
  </si>
  <si>
    <t>Total Actual (+Hoy)</t>
  </si>
  <si>
    <t>Guía (Incluye 11 con tag Traducción)</t>
  </si>
  <si>
    <t>Facilidades Físicas</t>
  </si>
  <si>
    <t>Seguridad</t>
  </si>
  <si>
    <t>Parqueo y Transporte</t>
  </si>
  <si>
    <t>Tecnología</t>
  </si>
  <si>
    <t>Historia</t>
  </si>
  <si>
    <t>Recepción</t>
  </si>
  <si>
    <t>Traducción</t>
  </si>
  <si>
    <t>Sin Comité</t>
  </si>
  <si>
    <t>TOTAL GENERAL (BD)</t>
  </si>
  <si>
    <t>Guía</t>
  </si>
  <si>
    <t>💡 RESUMEN CLAVE DE INTERPRETACIÓN</t>
  </si>
  <si>
    <t>• Incremento global del día: Se registraron 88 nuevos voluntarios ayer, representando un crecimiento del +11.96% con respecto a la base previa (736 voluntarios).</t>
  </si>
  <si>
    <t>• Facilidades Físicas: Fue el comité con mayor volumen y aceleración, sumando 23 personas (+25.84%).</t>
  </si>
  <si>
    <t>• Recepción: Sumó 6 personas (+23.08%), consolidando su capacidad operativa.</t>
  </si>
  <si>
    <t>• Guía y Traducción: En la BD están registrados 28 voluntarios bajo Guía, pero 11 de ellos corresponden al equipo de Traducción identificado con la etiqueta "(Traducción)".</t>
  </si>
  <si>
    <t>LISTADO NOMINAL DE NUEVOS VOLUNTARIOS REGISTRADOS AYER (16 DE AGOSTO) — 88 PERSONAS</t>
  </si>
  <si>
    <t>Nombre Completo</t>
  </si>
  <si>
    <t>Comité (BD)</t>
  </si>
  <si>
    <t>Comité (Efectivo)</t>
  </si>
  <si>
    <t>Estaca</t>
  </si>
  <si>
    <t>Barrio / Congregación</t>
  </si>
  <si>
    <t>Teléfono</t>
  </si>
  <si>
    <t>Edad</t>
  </si>
  <si>
    <t>Hora Registro (Local)</t>
  </si>
  <si>
    <t>Estado</t>
  </si>
  <si>
    <t>Jashuara Nahomy Malespin Largaespada</t>
  </si>
  <si>
    <t>Managua</t>
  </si>
  <si>
    <t>Boer</t>
  </si>
  <si>
    <t>+50583294167</t>
  </si>
  <si>
    <t>08:27:24 a. m.</t>
  </si>
  <si>
    <t>Activo</t>
  </si>
  <si>
    <t>Estefany Rachell Chevez Cuadra</t>
  </si>
  <si>
    <t>+50557894558</t>
  </si>
  <si>
    <t>08:32:49 a. m.</t>
  </si>
  <si>
    <t>Rebeca Massiel López Rocha</t>
  </si>
  <si>
    <t>Villa Flor</t>
  </si>
  <si>
    <t>+50577735205</t>
  </si>
  <si>
    <t>01:04:56 p. m.</t>
  </si>
  <si>
    <t>Mervin Martinez</t>
  </si>
  <si>
    <t>Universitaria</t>
  </si>
  <si>
    <t>Monserat</t>
  </si>
  <si>
    <t>+50589988932</t>
  </si>
  <si>
    <t>02:35:39 p. m.</t>
  </si>
  <si>
    <t>Alva Maria Gutuerrez Ortiz</t>
  </si>
  <si>
    <t>Las aAméricas</t>
  </si>
  <si>
    <t>Ciudadela</t>
  </si>
  <si>
    <t>+50586573626</t>
  </si>
  <si>
    <t>02:35:57 p. m.</t>
  </si>
  <si>
    <t>Yahoska Zulay Ortiz Castillo</t>
  </si>
  <si>
    <t>Universataria</t>
  </si>
  <si>
    <t>Monserrat</t>
  </si>
  <si>
    <t>+50582525033</t>
  </si>
  <si>
    <t>02:36:01 p. m.</t>
  </si>
  <si>
    <t>Kirsten Leonala Potocarrero Roldan</t>
  </si>
  <si>
    <t>Bello Horizonte</t>
  </si>
  <si>
    <t>Ducuali</t>
  </si>
  <si>
    <t>+50588863667</t>
  </si>
  <si>
    <t>02:38:51 p. m.</t>
  </si>
  <si>
    <t>Yadid Matamoros</t>
  </si>
  <si>
    <t>+50586390264</t>
  </si>
  <si>
    <t>02:41:22 p. m.</t>
  </si>
  <si>
    <t>Alvaro Misael Marenco Guerrero</t>
  </si>
  <si>
    <t xml:space="preserve">Bello Horizonte </t>
  </si>
  <si>
    <t>+50586119122</t>
  </si>
  <si>
    <t>02:41:34 p. m.</t>
  </si>
  <si>
    <t>Alessandro Esau Jarquin Gutierrez</t>
  </si>
  <si>
    <t>San Judas</t>
  </si>
  <si>
    <t>+50558264407</t>
  </si>
  <si>
    <t>02:42:54 p. m.</t>
  </si>
  <si>
    <t>Sindy Alejandra Torrez</t>
  </si>
  <si>
    <t xml:space="preserve">Masaya </t>
  </si>
  <si>
    <t>Cuatro esquinas</t>
  </si>
  <si>
    <t>+50558328385</t>
  </si>
  <si>
    <t>02:44:22 p. m.</t>
  </si>
  <si>
    <t>Maria Elena Pozo Fonseca</t>
  </si>
  <si>
    <t>14 de Septiembre</t>
  </si>
  <si>
    <t>+50589785117</t>
  </si>
  <si>
    <t>02:46:09 p. m.</t>
  </si>
  <si>
    <t>Jazmina Perez Castillo</t>
  </si>
  <si>
    <t>+50582438389</t>
  </si>
  <si>
    <t>02:47:17 p. m.</t>
  </si>
  <si>
    <t>Luis Fernando García Pineda</t>
  </si>
  <si>
    <t xml:space="preserve">Villa Venezuela </t>
  </si>
  <si>
    <t>+50576773003</t>
  </si>
  <si>
    <t>02:47:46 p. m.</t>
  </si>
  <si>
    <t>Carlos Alexander Aguirre Areas</t>
  </si>
  <si>
    <t>Univeritaria</t>
  </si>
  <si>
    <t>+50575109309</t>
  </si>
  <si>
    <t>02:51:44 p. m.</t>
  </si>
  <si>
    <t>Flora Elena Lopez</t>
  </si>
  <si>
    <t>Maximo Jerez</t>
  </si>
  <si>
    <t>+50582779715</t>
  </si>
  <si>
    <t>02:51:45 p. m.</t>
  </si>
  <si>
    <t>Jonathan Javier Mendez Villanueva</t>
  </si>
  <si>
    <t>Masatepe</t>
  </si>
  <si>
    <t xml:space="preserve">San Carlos </t>
  </si>
  <si>
    <t>+50584556250</t>
  </si>
  <si>
    <t>02:53:11 p. m.</t>
  </si>
  <si>
    <t>Marling Margarita Nuñez Reyes</t>
  </si>
  <si>
    <t>San Carlos</t>
  </si>
  <si>
    <t>+50583830424</t>
  </si>
  <si>
    <t>02:58:34 p. m.</t>
  </si>
  <si>
    <t>Carlos Manuel Lorio</t>
  </si>
  <si>
    <t>Bello Amanecer</t>
  </si>
  <si>
    <t>+50576221140</t>
  </si>
  <si>
    <t>02:59:04 p. m.</t>
  </si>
  <si>
    <t>Joselyn de los Angeles Castañeda Perez</t>
  </si>
  <si>
    <t>Bello amanecer</t>
  </si>
  <si>
    <t>+50587202306</t>
  </si>
  <si>
    <t>03:00:09 p. m.</t>
  </si>
  <si>
    <t>Moroni José Lopez Días</t>
  </si>
  <si>
    <t xml:space="preserve">Universitaria </t>
  </si>
  <si>
    <t>Batahola</t>
  </si>
  <si>
    <t>+50581353365</t>
  </si>
  <si>
    <t>03:00:35 p. m.</t>
  </si>
  <si>
    <t>Lawrence Neftali Fernandez Lopez</t>
  </si>
  <si>
    <t>Waspan</t>
  </si>
  <si>
    <t>+50575259144</t>
  </si>
  <si>
    <t>03:04:31 p. m.</t>
  </si>
  <si>
    <t>Tania Ninoska Lopez Gaitan</t>
  </si>
  <si>
    <t>+50558831937</t>
  </si>
  <si>
    <t>03:04:34 p. m.</t>
  </si>
  <si>
    <t>Engels Moroni Torres</t>
  </si>
  <si>
    <t>Juigalpa</t>
  </si>
  <si>
    <t>+50576141226</t>
  </si>
  <si>
    <t>03:07:13 p. m.</t>
  </si>
  <si>
    <t>Ashley Veronica Espinoza Hernandez</t>
  </si>
  <si>
    <t xml:space="preserve">Batahola </t>
  </si>
  <si>
    <t>+50577361801</t>
  </si>
  <si>
    <t>03:08:23 p. m.</t>
  </si>
  <si>
    <t>Kimberly Samantha Gomez Espinal</t>
  </si>
  <si>
    <t>Las savogales</t>
  </si>
  <si>
    <t>+50576202244</t>
  </si>
  <si>
    <t>03:08:28 p. m.</t>
  </si>
  <si>
    <t>Jose Luis Baca Rodriguez</t>
  </si>
  <si>
    <t>+50588622788</t>
  </si>
  <si>
    <t>03:09:34 p. m.</t>
  </si>
  <si>
    <t>Junnior Steven Castillo Centeno</t>
  </si>
  <si>
    <t xml:space="preserve">Princesa polca </t>
  </si>
  <si>
    <t>+50576887865</t>
  </si>
  <si>
    <t>03:11:09 p. m.</t>
  </si>
  <si>
    <t>Mike Michael Vargas Quiroz</t>
  </si>
  <si>
    <t>San juan</t>
  </si>
  <si>
    <t>+50576810956</t>
  </si>
  <si>
    <t>03:12:32 p. m.</t>
  </si>
  <si>
    <t>Pedro Roman Aburto Ramirez</t>
  </si>
  <si>
    <t>Jinotepe</t>
  </si>
  <si>
    <t>Diriamba</t>
  </si>
  <si>
    <t>+50589385197</t>
  </si>
  <si>
    <t>03:14:54 p. m.</t>
  </si>
  <si>
    <t>Ileana Maria Moran Aguirre de Aburto</t>
  </si>
  <si>
    <t>+50584867911</t>
  </si>
  <si>
    <t>03:15:03 p. m.</t>
  </si>
  <si>
    <t>Cristian Moisés Molina Elvir</t>
  </si>
  <si>
    <t>+50582035787</t>
  </si>
  <si>
    <t>03:15:53 p. m.</t>
  </si>
  <si>
    <t>Maria Alejandra Pozo Fonseca</t>
  </si>
  <si>
    <t>Matiares</t>
  </si>
  <si>
    <t>+50582222311</t>
  </si>
  <si>
    <t>03:20:37 p. m.</t>
  </si>
  <si>
    <t>Karla Messiel Ortiz Duarte</t>
  </si>
  <si>
    <t>Monte fresco</t>
  </si>
  <si>
    <t>+50578891788</t>
  </si>
  <si>
    <t>03:23:28 p. m.</t>
  </si>
  <si>
    <t>Oscar José Aburto Moran</t>
  </si>
  <si>
    <t xml:space="preserve">Jinotepe </t>
  </si>
  <si>
    <t>+50583563306</t>
  </si>
  <si>
    <t>03:24:23 p. m.</t>
  </si>
  <si>
    <t>Kiara Massiel Cruz</t>
  </si>
  <si>
    <t>Lezcano</t>
  </si>
  <si>
    <t>+50585596855</t>
  </si>
  <si>
    <t>03:25:27 p. m.</t>
  </si>
  <si>
    <t>Karla Valeria Duarte Manzanarez</t>
  </si>
  <si>
    <t>+50587903323</t>
  </si>
  <si>
    <t>03:25:47 p. m.</t>
  </si>
  <si>
    <t>karla Fernanda Ortíz Duarte</t>
  </si>
  <si>
    <t>Monte  Fresco</t>
  </si>
  <si>
    <t>+50589674154</t>
  </si>
  <si>
    <t>03:25:50 p. m.</t>
  </si>
  <si>
    <t>Alfonso Jr Cesar Rios Jacamo</t>
  </si>
  <si>
    <t>Mateare</t>
  </si>
  <si>
    <t>+50587937111</t>
  </si>
  <si>
    <t>03:26:38 p. m.</t>
  </si>
  <si>
    <t>Elman Enoc Rojas Sanchez</t>
  </si>
  <si>
    <t>+50585143206</t>
  </si>
  <si>
    <t>03:29:17 p. m.</t>
  </si>
  <si>
    <t>Maria Isabel Morales de Rojas</t>
  </si>
  <si>
    <t>+50583732945</t>
  </si>
  <si>
    <t>03:29:21 p. m.</t>
  </si>
  <si>
    <t>Linda Mariela Vargas Espinoza</t>
  </si>
  <si>
    <t>Prinzapolka</t>
  </si>
  <si>
    <t>+50583306721</t>
  </si>
  <si>
    <t>03:30:17 p. m.</t>
  </si>
  <si>
    <t>Sandra Yamileth Silva Obando</t>
  </si>
  <si>
    <t xml:space="preserve">Ciudad Jardín </t>
  </si>
  <si>
    <t>+50576476923</t>
  </si>
  <si>
    <t>03:32:59 p. m.</t>
  </si>
  <si>
    <t>Estefan Juniett Calero Martinez</t>
  </si>
  <si>
    <t xml:space="preserve">Managua </t>
  </si>
  <si>
    <t xml:space="preserve">Prinzapolka </t>
  </si>
  <si>
    <t>+50578492201</t>
  </si>
  <si>
    <t>03:33:34 p. m.</t>
  </si>
  <si>
    <t>Brianna lisseth Flores Elvir</t>
  </si>
  <si>
    <t>+50586412898</t>
  </si>
  <si>
    <t>03:34:22 p. m.</t>
  </si>
  <si>
    <t>Freddy Antonio Molina Elvir</t>
  </si>
  <si>
    <t>+50557131132</t>
  </si>
  <si>
    <t>03:37:30 p. m.</t>
  </si>
  <si>
    <t>Grecia Sofia Gutierrez Solis</t>
  </si>
  <si>
    <t>+50582331606</t>
  </si>
  <si>
    <t>03:38:12 p. m.</t>
  </si>
  <si>
    <t>Aura Lila Muñiz Rivas</t>
  </si>
  <si>
    <t>Veracruz</t>
  </si>
  <si>
    <t>+50577054205</t>
  </si>
  <si>
    <t>03:39:43 p. m.</t>
  </si>
  <si>
    <t>Katia Ninoska Martinez Espinoza</t>
  </si>
  <si>
    <t>+50586768677</t>
  </si>
  <si>
    <t>03:40:59 p. m.</t>
  </si>
  <si>
    <t>Leah Peiyi Lin Martinez</t>
  </si>
  <si>
    <t>+50584917879</t>
  </si>
  <si>
    <t>03:42:50 p. m.</t>
  </si>
  <si>
    <t>Matias Modesta Mejía Valle</t>
  </si>
  <si>
    <t>+50584106409</t>
  </si>
  <si>
    <t>03:43:42 p. m.</t>
  </si>
  <si>
    <t>María Luisa Elvir</t>
  </si>
  <si>
    <t>+50558381077</t>
  </si>
  <si>
    <t>03:45:36 p. m.</t>
  </si>
  <si>
    <t>Ashling Alexandra Molina Elvir</t>
  </si>
  <si>
    <t xml:space="preserve">Diriamba </t>
  </si>
  <si>
    <t>+50558381071</t>
  </si>
  <si>
    <t>03:46:21 p. m.</t>
  </si>
  <si>
    <t>Laurents Bayardo Chamorro Pena</t>
  </si>
  <si>
    <t>Altagracia</t>
  </si>
  <si>
    <t>+50582346990</t>
  </si>
  <si>
    <t>03:48:03 p. m.</t>
  </si>
  <si>
    <t>Mauricio Antonio Gutierrez Martinez</t>
  </si>
  <si>
    <t xml:space="preserve">Linda vista </t>
  </si>
  <si>
    <t>+50581854614</t>
  </si>
  <si>
    <t>03:52:40 p. m.</t>
  </si>
  <si>
    <t>Katerine Massiel Lopez Briceño</t>
  </si>
  <si>
    <t>+50586461541</t>
  </si>
  <si>
    <t>03:54:47 p. m.</t>
  </si>
  <si>
    <t>Ansoni Ezequiel Zavala Navas</t>
  </si>
  <si>
    <t xml:space="preserve">Altagracia </t>
  </si>
  <si>
    <t>+50557349677</t>
  </si>
  <si>
    <t>03:56:13 p. m.</t>
  </si>
  <si>
    <t>Edgar Joel Alvarado Tapia</t>
  </si>
  <si>
    <t>Masaya</t>
  </si>
  <si>
    <t>Nindiri</t>
  </si>
  <si>
    <t>+50557142019</t>
  </si>
  <si>
    <t>04:03:09 p. m.</t>
  </si>
  <si>
    <t>Sabrína Melissa Quezada Muñoz</t>
  </si>
  <si>
    <t>Las  Americas</t>
  </si>
  <si>
    <t>Las Américas</t>
  </si>
  <si>
    <t>+50576866712</t>
  </si>
  <si>
    <t>04:08:08 p. m.</t>
  </si>
  <si>
    <t>Leonardo Josue Ochoa</t>
  </si>
  <si>
    <t>Primavera</t>
  </si>
  <si>
    <t>+50585061562</t>
  </si>
  <si>
    <t>04:11:11 p. m.</t>
  </si>
  <si>
    <t>Ana Lia Centeno</t>
  </si>
  <si>
    <t>+50584490970</t>
  </si>
  <si>
    <t>04:13:11 p. m.</t>
  </si>
  <si>
    <t>Maria Dolores Alvarez Garcia</t>
  </si>
  <si>
    <t>Monte Fresco</t>
  </si>
  <si>
    <t>+50576104455</t>
  </si>
  <si>
    <t>04:14:19 p. m.</t>
  </si>
  <si>
    <t>Ashley Dayana Velasquez Garcia</t>
  </si>
  <si>
    <t>+50577918340</t>
  </si>
  <si>
    <t>04:15:42 p. m.</t>
  </si>
  <si>
    <t>Oscar Moreno Acevedo</t>
  </si>
  <si>
    <t>San Juan</t>
  </si>
  <si>
    <t>+50576997998</t>
  </si>
  <si>
    <t>04:17:46 p. m.</t>
  </si>
  <si>
    <t>Randy Velasquez Garcia</t>
  </si>
  <si>
    <t>+50582758287</t>
  </si>
  <si>
    <t>04:17:56 p. m.</t>
  </si>
  <si>
    <t>Abish Idania Martinez Gutierrez</t>
  </si>
  <si>
    <t>Las Flores</t>
  </si>
  <si>
    <t>+50583852848</t>
  </si>
  <si>
    <t>04:19:13 p. m.</t>
  </si>
  <si>
    <t>Cristopher Josue Bojorge Aleman</t>
  </si>
  <si>
    <t>+50584325894</t>
  </si>
  <si>
    <t>04:20:59 p. m.</t>
  </si>
  <si>
    <t>Anielka Jose Gutierrez Hodgson</t>
  </si>
  <si>
    <t>+50582890843</t>
  </si>
  <si>
    <t>04:21:04 p. m.</t>
  </si>
  <si>
    <t>Cristhy Abigail Montoya Sanchez</t>
  </si>
  <si>
    <t>+50558571193</t>
  </si>
  <si>
    <t>04:22:38 p. m.</t>
  </si>
  <si>
    <t>Iris Paramo</t>
  </si>
  <si>
    <t>Sabogales</t>
  </si>
  <si>
    <t>+50588063860</t>
  </si>
  <si>
    <t>04:24:08 p. m.</t>
  </si>
  <si>
    <t>Aaron Edward Lopez</t>
  </si>
  <si>
    <t>+50589405026</t>
  </si>
  <si>
    <t>04:25:39 p. m.</t>
  </si>
  <si>
    <t>Alisson Lisseth Ruiz Fuentes</t>
  </si>
  <si>
    <t>+50558492122</t>
  </si>
  <si>
    <t>04:26:13 p. m.</t>
  </si>
  <si>
    <t>Amy Luciana Martinez Gutierrez</t>
  </si>
  <si>
    <t>+50578292868</t>
  </si>
  <si>
    <t>04:27:04 p. m.</t>
  </si>
  <si>
    <t>José Guillermo Montenegro López</t>
  </si>
  <si>
    <t>+50581026841</t>
  </si>
  <si>
    <t>04:27:16 p. m.</t>
  </si>
  <si>
    <t>Keneth Josue Viera Pineda</t>
  </si>
  <si>
    <t>+50581070411</t>
  </si>
  <si>
    <t>04:27:54 p. m.</t>
  </si>
  <si>
    <t>Andrea Santamaria Robles Chacon</t>
  </si>
  <si>
    <t xml:space="preserve">San Juan </t>
  </si>
  <si>
    <t>+50583270189</t>
  </si>
  <si>
    <t>04:32:38 p. m.</t>
  </si>
  <si>
    <t>Tamara Ninoska Gaitan</t>
  </si>
  <si>
    <t>+50586473459</t>
  </si>
  <si>
    <t>04:34:19 p. m.</t>
  </si>
  <si>
    <t>Cinthya del Carmen Sanchez Puerto</t>
  </si>
  <si>
    <t>Leon</t>
  </si>
  <si>
    <t>Coyolar</t>
  </si>
  <si>
    <t>+50581090756</t>
  </si>
  <si>
    <t>04:35:43 p. m.</t>
  </si>
  <si>
    <t>Cristhian Natalia Garcia Fonseca</t>
  </si>
  <si>
    <t>+50585266882</t>
  </si>
  <si>
    <t>04:37:08 p. m.</t>
  </si>
  <si>
    <t>Audrey Solis</t>
  </si>
  <si>
    <t>+50576448218</t>
  </si>
  <si>
    <t>04:38:19 p. m.</t>
  </si>
  <si>
    <t>Bridgith Milagro Munguia Madrigal</t>
  </si>
  <si>
    <t>+50586947192</t>
  </si>
  <si>
    <t>04:38:27 p. m.</t>
  </si>
  <si>
    <t>Caleb Trejos Cedeno</t>
  </si>
  <si>
    <t>+50581573057</t>
  </si>
  <si>
    <t>04:41:39 p. m.</t>
  </si>
  <si>
    <t>Dyssa Silva</t>
  </si>
  <si>
    <t>+50586516900</t>
  </si>
  <si>
    <t>04:43:31 p. m.</t>
  </si>
  <si>
    <t>Jhocias Condega</t>
  </si>
  <si>
    <t>+50557234690</t>
  </si>
  <si>
    <t>04:45:59 p. m.</t>
  </si>
  <si>
    <t>Fatafehi Carolina Ortega</t>
  </si>
  <si>
    <t>San Miguel</t>
  </si>
  <si>
    <t>+50584609931</t>
  </si>
  <si>
    <t>04:49:50 p. m.</t>
  </si>
  <si>
    <t>Leticia Tellez</t>
  </si>
  <si>
    <t>+50586909426</t>
  </si>
  <si>
    <t>04:52:55 p. m.</t>
  </si>
  <si>
    <t>Ashley Junieth Davila Gutierrez</t>
  </si>
  <si>
    <t>+50589168784</t>
  </si>
  <si>
    <t>04:59:36 p. m.</t>
  </si>
  <si>
    <t>Josue Enoc Polanco González</t>
  </si>
  <si>
    <t xml:space="preserve">Waspan </t>
  </si>
  <si>
    <t>+50576761896</t>
  </si>
  <si>
    <t>05:44:08 p. m.</t>
  </si>
  <si>
    <t>EVOLUCIÓN HISTÓRICA DE INGRESOS DIARIOS DE VOLUNTARIOS</t>
  </si>
  <si>
    <t>Fecha (Año-Mes-Día)</t>
  </si>
  <si>
    <t>Nuevos Voluntarios</t>
  </si>
  <si>
    <t>Total Acumulado</t>
  </si>
  <si>
    <t>% del Total Global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</si>
  <si>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</si>
  <si>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</si>
  <si>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</si>
  <si>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</si>
  <si>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</si>
  <si>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</si>
  <si>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</si>
  <si>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</si>
  <si>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</si>
  <si>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</si>
  <si>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2026-08-11</t>
  </si>
  <si>
    <t>2026-08-12</t>
  </si>
  <si>
    <t>2026-08-13</t>
  </si>
  <si>
    <t>2026-08-14</t>
  </si>
  <si>
    <t>2026-08-15</t>
  </si>
  <si>
    <t>2026-08-16 (Ayer ⭐)</t>
  </si>
  <si>
    <t>2026-08-17</t>
  </si>
  <si>
    <t>TOTAL REGISTRADOS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</si>
</sst>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"/>
    <numFmt numFmtId="165" formatCode="\+0.00%"/>
    <numFmt numFmtId="166" formatCode="\+0.00%;\-0.00%;0.00%"/>
  </numFmts>
  <fonts count="23" x14ac:knownFonts="1">
    <font>
      <sz val="11"/>
      <color theme="1"/>
      <name val="Calibri"/>
      <family val="2"/>
      <scheme val="minor"/>
    </font>
    <font>
      <b/>
      <sz val="16"/>
      <color rgb="FF252631"/>
      <name val="Lexend"/>
    </font>
    <font>
      <sz val="10"/>
      <color rgb="FF778CA2"/>
      <name val="Lexend"/>
    </font>
    <font>
      <b/>
      <sz val="8.5"/>
      <color rgb="FF778CA2"/>
      <name val="Lexend"/>
    </font>
    <font>
      <b/>
      <sz val="18"/>
      <color rgb="FF252631"/>
      <name val="Lexend"/>
    </font>
    <font>
      <b/>
      <sz val="18"/>
      <color rgb="FF2A5BD7"/>
      <name val="Lexend"/>
    </font>
    <font>
      <b/>
      <sz val="18"/>
      <color rgb="FF2E7D32"/>
      <name val="Lexend"/>
    </font>
    <font>
      <i/>
      <sz val="8"/>
      <color rgb="FF778CA2"/>
      <name val="Lexend"/>
    </font>
    <font>
      <b/>
      <sz val="11"/>
      <color rgb="FF2A5BD7"/>
      <name val="Lexend"/>
    </font>
    <font>
      <b/>
      <sz val="9.5"/>
      <color rgb="FFFFFFFF"/>
      <name val="Lexend"/>
    </font>
    <font>
      <sz val="9"/>
      <color rgb="FF778CA2"/>
      <name val="Lexend"/>
    </font>
    <font>
      <b/>
      <sz val="9.5"/>
      <color rgb="FF252631"/>
      <name val="Lexend"/>
    </font>
    <font>
      <sz val="9.5"/>
      <color rgb="FF252631"/>
      <name val="Lexend"/>
    </font>
    <font>
      <b/>
      <sz val="9.5"/>
      <color rgb="FF2A5BD7"/>
      <name val="Lexend"/>
    </font>
    <font>
      <b/>
      <sz val="9.5"/>
      <color rgb="FF2E7D32"/>
      <name val="Lexend"/>
    </font>
    <font>
      <sz val="9.5"/>
      <color rgb="FF778CA2"/>
      <name val="Lexend"/>
    </font>
    <font>
      <b/>
      <sz val="10"/>
      <color rgb="FF252631"/>
      <name val="Lexend"/>
    </font>
    <font>
      <b/>
      <sz val="10"/>
      <color rgb="FF2A5BD7"/>
      <name val="Lexend"/>
    </font>
    <font>
      <b/>
      <sz val="10"/>
      <color rgb="FF2E7D32"/>
      <name val="Lexend"/>
    </font>
    <font>
      <sz val="9"/>
      <color rgb="FF252631"/>
      <name val="Lexend"/>
    </font>
    <font>
      <b/>
      <sz val="13"/>
      <color rgb="FF252631"/>
      <name val="Lexend"/>
    </font>
    <font>
      <b/>
      <sz val="8.5"/>
      <color rgb="FF2E7D32"/>
      <name val="Lexend"/>
    </font>
    <font>
      <b/>
      <sz val="9"/>
      <color rgb="FF2A5BD7"/>
      <name val="Lexend"/>
    </font>
  </fonts>
  <fills count="7">
    <fill>
      <patternFill patternType="none"/>
    </fill>
    <fill>
      <patternFill patternType="gray125"/>
    </fill>
    <fill>
      <patternFill patternType="solid">
        <fgColor rgb="FFF2F4F6"/>
      </patternFill>
    </fill>
    <fill>
      <patternFill patternType="solid">
        <fgColor rgb="FFEBF1FF"/>
      </patternFill>
    </fill>
    <fill>
      <patternFill patternType="solid">
        <fgColor rgb="FFF0F9EB"/>
      </patternFill>
    </fill>
    <fill>
      <patternFill patternType="solid">
        <fgColor rgb="FFFFFFFF"/>
      </patternFill>
    </fill>
    <fill>
      <patternFill patternType="solid">
        <fgColor rgb="FF4D7CFE"/>
      </patternFill>
    </fill>
  </fills>
  <borders count="10">
    <border>
      <left/>
      <right/>
      <top/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4D7CFE"/>
      </right>
      <top style="thin">
        <color rgb="FF4D7CFE"/>
      </top>
      <bottom/>
      <diagonal/>
    </border>
    <border>
      <left/>
      <right style="thin">
        <color rgb="FFD0D7DE"/>
      </right>
      <top/>
      <bottom/>
      <diagonal/>
    </border>
    <border>
      <left/>
      <right style="thin">
        <color rgb="FF4D7CFE"/>
      </right>
      <top/>
      <bottom/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 style="thin">
        <color rgb="FF4D7CFE"/>
      </right>
      <top/>
      <bottom style="thin">
        <color rgb="FF4D7CFE"/>
      </bottom>
      <diagonal/>
    </border>
    <border>
      <left style="thin">
        <color rgb="FF2A5BD7"/>
      </left>
      <right style="thin">
        <color rgb="FF2A5BD7"/>
      </right>
      <top style="thin">
        <color rgb="FF2A5BD7"/>
      </top>
      <bottom style="thin">
        <color rgb="FF2A5BD7"/>
      </bottom>
      <diagonal/>
    </border>
    <border>
      <left style="thin">
        <color rgb="FFE8ECEF"/>
      </left>
      <right style="thin">
        <color rgb="FFE8ECEF"/>
      </right>
      <top style="thin">
        <color rgb="FFE8ECEF"/>
      </top>
      <bottom style="thin">
        <color rgb="FFE8ECEF"/>
      </bottom>
      <diagonal/>
    </border>
    <border>
      <left style="thin">
        <color rgb="FFE8ECEF"/>
      </left>
      <right style="thin">
        <color rgb="FFE8ECEF"/>
      </right>
      <top style="thin">
        <color rgb="FF252631"/>
      </top>
      <bottom style="double">
        <color rgb="FF25263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9" fillId="6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left" vertical="center"/>
    </xf>
    <xf numFmtId="0" fontId="19" fillId="5" borderId="8" xfId="0" applyFont="1" applyFill="1" applyBorder="1" applyAlignment="1">
      <alignment horizontal="center" vertical="center"/>
    </xf>
    <xf numFmtId="0" fontId="21" fillId="4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5" fontId="6" fillId="4" borderId="3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0" borderId="0" xfId="0" applyFont="1"/>
    <xf numFmtId="0" fontId="16" fillId="3" borderId="9" xfId="0" applyFont="1" applyFill="1" applyBorder="1" applyAlignment="1">
      <alignment horizontal="left" vertical="center"/>
    </xf>
    <xf numFmtId="0" fontId="17" fillId="0" borderId="0" xfId="0" applyFont="1"/>
    <xf numFmtId="0" fontId="19" fillId="0" borderId="0" xfId="0" applyFont="1"/>
    <xf numFmtId="0" fontId="20" fillId="0" borderId="0" xfId="0" applyFont="1" applyAlignment="1">
      <alignment horizontal="left" vertical="center"/>
    </xf>
    <xf numFmtId="3" fontId="12" fillId="5" borderId="8" xfId="0" applyNumberFormat="1" applyFont="1" applyFill="1" applyBorder="1" applyAlignment="1">
      <alignment horizontal="center" vertical="center"/>
    </xf>
    <xf numFmtId="3" fontId="13" fillId="3" borderId="8" xfId="0" applyNumberFormat="1" applyFont="1" applyFill="1" applyBorder="1" applyAlignment="1">
      <alignment horizontal="center" vertical="center"/>
    </xf>
    <xf numFmtId="3" fontId="11" fillId="5" borderId="8" xfId="0" applyNumberFormat="1" applyFont="1" applyFill="1" applyBorder="1" applyAlignment="1">
      <alignment horizontal="center" vertical="center"/>
    </xf>
    <xf numFmtId="166" fontId="14" fillId="4" borderId="8" xfId="0" applyNumberFormat="1" applyFont="1" applyFill="1" applyBorder="1" applyAlignment="1">
      <alignment horizontal="center" vertical="center"/>
    </xf>
    <xf numFmtId="10" fontId="12" fillId="5" borderId="8" xfId="0" applyNumberFormat="1" applyFont="1" applyFill="1" applyBorder="1" applyAlignment="1">
      <alignment horizontal="center" vertical="center"/>
    </xf>
    <xf numFmtId="3" fontId="12" fillId="2" borderId="8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10" fontId="12" fillId="2" borderId="8" xfId="0" applyNumberFormat="1" applyFont="1" applyFill="1" applyBorder="1" applyAlignment="1">
      <alignment horizontal="center" vertical="center"/>
    </xf>
    <xf numFmtId="3" fontId="15" fillId="2" borderId="8" xfId="0" applyNumberFormat="1" applyFont="1" applyFill="1" applyBorder="1" applyAlignment="1">
      <alignment horizontal="center" vertical="center"/>
    </xf>
    <xf numFmtId="166" fontId="15" fillId="2" borderId="8" xfId="0" applyNumberFormat="1" applyFont="1" applyFill="1" applyBorder="1" applyAlignment="1">
      <alignment horizontal="center" vertical="center"/>
    </xf>
    <xf numFmtId="3" fontId="16" fillId="3" borderId="9" xfId="0" applyNumberFormat="1" applyFont="1" applyFill="1" applyBorder="1" applyAlignment="1">
      <alignment horizontal="center" vertical="center"/>
    </xf>
    <xf numFmtId="164" fontId="17" fillId="3" borderId="9" xfId="0" applyNumberFormat="1" applyFont="1" applyFill="1" applyBorder="1" applyAlignment="1">
      <alignment horizontal="center" vertical="center"/>
    </xf>
    <xf numFmtId="165" fontId="18" fillId="3" borderId="9" xfId="0" applyNumberFormat="1" applyFont="1" applyFill="1" applyBorder="1" applyAlignment="1">
      <alignment horizontal="center" vertical="center"/>
    </xf>
    <xf numFmtId="10" fontId="16" fillId="3" borderId="9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 applyAlignment="1">
      <alignment horizontal="center" vertical="center"/>
    </xf>
    <xf numFmtId="10" fontId="12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6"/>
  <sheetViews>
    <sheetView showGridLines="0" tabSelected="1" workbookViewId="0">
      <selection activeCell="B24" sqref="B24:I24"/>
    </sheetView>
  </sheetViews>
  <sheetFormatPr defaultRowHeight="21.95" customHeight="1" x14ac:dyDescent="0.25"/>
  <cols>
    <col min="1" max="1" width="4" customWidth="1"/>
    <col min="2" max="2" width="6" customWidth="1"/>
    <col min="3" max="3" width="28" customWidth="1"/>
    <col min="4" max="4" width="25" customWidth="1"/>
    <col min="5" max="5" width="22" customWidth="1"/>
    <col min="6" max="6" width="25" customWidth="1"/>
    <col min="7" max="8" width="22" customWidth="1"/>
    <col min="9" max="9" width="20" customWidth="1"/>
    <col min="10" max="10" width="4" customWidth="1"/>
  </cols>
  <sheetData>
    <row r="2" spans="2:9" ht="27.95" customHeight="1" x14ac:dyDescent="0.25">
      <c r="B2" s="20" t="s">
        <v>0</v>
      </c>
      <c r="C2" s="20"/>
      <c r="D2" s="20"/>
      <c r="E2" s="20"/>
      <c r="F2" s="20"/>
      <c r="G2" s="20"/>
      <c r="H2" s="20"/>
      <c r="I2" s="20"/>
    </row>
    <row r="3" spans="2:9" ht="18" customHeight="1" x14ac:dyDescent="0.25">
      <c r="B3" s="21" t="s">
        <v>1</v>
      </c>
      <c r="C3" s="21"/>
      <c r="D3" s="21"/>
      <c r="E3" s="21"/>
      <c r="F3" s="21"/>
      <c r="G3" s="21"/>
      <c r="H3" s="21"/>
      <c r="I3" s="21"/>
    </row>
    <row r="5" spans="2:9" ht="18" customHeight="1" x14ac:dyDescent="0.25">
      <c r="B5" s="22" t="s">
        <v>2</v>
      </c>
      <c r="C5" s="22"/>
      <c r="D5" s="23" t="s">
        <v>3</v>
      </c>
      <c r="E5" s="23"/>
      <c r="F5" s="24" t="s">
        <v>4</v>
      </c>
      <c r="G5" s="24"/>
      <c r="H5" s="25" t="s">
        <v>5</v>
      </c>
      <c r="I5" s="25"/>
    </row>
    <row r="6" spans="2:9" ht="26.1" customHeight="1" x14ac:dyDescent="0.25">
      <c r="B6" s="26">
        <v>736</v>
      </c>
      <c r="C6" s="26"/>
      <c r="D6" s="27">
        <v>88</v>
      </c>
      <c r="E6" s="27"/>
      <c r="F6" s="28">
        <v>0.11956521739130435</v>
      </c>
      <c r="G6" s="28"/>
      <c r="H6" s="29">
        <v>824</v>
      </c>
      <c r="I6" s="29"/>
    </row>
    <row r="7" spans="2:9" ht="15.95" customHeight="1" x14ac:dyDescent="0.25">
      <c r="B7" s="30" t="s">
        <v>6</v>
      </c>
      <c r="C7" s="30"/>
      <c r="D7" s="31" t="s">
        <v>7</v>
      </c>
      <c r="E7" s="31"/>
      <c r="F7" s="32" t="s">
        <v>8</v>
      </c>
      <c r="G7" s="32"/>
      <c r="H7" s="33" t="s">
        <v>9</v>
      </c>
      <c r="I7" s="33"/>
    </row>
    <row r="9" spans="2:9" ht="24" customHeight="1" x14ac:dyDescent="0.5">
      <c r="B9" s="34" t="s">
        <v>10</v>
      </c>
      <c r="C9" s="34"/>
      <c r="D9" s="34"/>
      <c r="E9" s="34"/>
      <c r="F9" s="34"/>
      <c r="G9" s="34"/>
      <c r="H9" s="34"/>
      <c r="I9" s="34"/>
    </row>
    <row r="10" spans="2:9" ht="26.1" customHeight="1" x14ac:dyDescent="0.25">
      <c r="B10" s="1" t="s">
        <v>11</v>
      </c>
      <c r="C10" s="2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</row>
    <row r="11" spans="2:9" ht="21.95" customHeight="1" x14ac:dyDescent="0.25">
      <c r="B11" s="3">
        <v>1</v>
      </c>
      <c r="C11" s="4" t="s">
        <v>19</v>
      </c>
      <c r="D11" s="39">
        <v>345</v>
      </c>
      <c r="E11" s="40">
        <v>28</v>
      </c>
      <c r="F11" s="41">
        <f t="shared" ref="F11:F19" si="0">D11+E11</f>
        <v>373</v>
      </c>
      <c r="G11" s="42">
        <f t="shared" ref="G11:G19" si="1">IF(D11&gt;0, E11/D11, IF(E11&gt;0, 1, 0))</f>
        <v>8.1159420289855067E-2</v>
      </c>
      <c r="H11" s="43">
        <f t="shared" ref="H11:H19" si="2">IF($E$20&gt;0, E11/$E$20, 0)</f>
        <v>0.31818181818181818</v>
      </c>
      <c r="I11" s="39">
        <v>375</v>
      </c>
    </row>
    <row r="12" spans="2:9" ht="21.95" customHeight="1" x14ac:dyDescent="0.25">
      <c r="B12" s="5">
        <v>2</v>
      </c>
      <c r="C12" s="6" t="s">
        <v>20</v>
      </c>
      <c r="D12" s="44">
        <v>89</v>
      </c>
      <c r="E12" s="40">
        <v>23</v>
      </c>
      <c r="F12" s="45">
        <f t="shared" si="0"/>
        <v>112</v>
      </c>
      <c r="G12" s="42">
        <f t="shared" si="1"/>
        <v>0.25842696629213485</v>
      </c>
      <c r="H12" s="46">
        <f t="shared" si="2"/>
        <v>0.26136363636363635</v>
      </c>
      <c r="I12" s="44">
        <v>112</v>
      </c>
    </row>
    <row r="13" spans="2:9" ht="21.95" customHeight="1" x14ac:dyDescent="0.25">
      <c r="B13" s="3">
        <v>3</v>
      </c>
      <c r="C13" s="4" t="s">
        <v>21</v>
      </c>
      <c r="D13" s="39">
        <v>85</v>
      </c>
      <c r="E13" s="40">
        <v>13</v>
      </c>
      <c r="F13" s="41">
        <f t="shared" si="0"/>
        <v>98</v>
      </c>
      <c r="G13" s="42">
        <f t="shared" si="1"/>
        <v>0.15294117647058825</v>
      </c>
      <c r="H13" s="43">
        <f t="shared" si="2"/>
        <v>0.14772727272727273</v>
      </c>
      <c r="I13" s="39">
        <v>98</v>
      </c>
    </row>
    <row r="14" spans="2:9" ht="21.95" customHeight="1" x14ac:dyDescent="0.25">
      <c r="B14" s="5">
        <v>4</v>
      </c>
      <c r="C14" s="6" t="s">
        <v>22</v>
      </c>
      <c r="D14" s="44">
        <v>72</v>
      </c>
      <c r="E14" s="40">
        <v>11</v>
      </c>
      <c r="F14" s="45">
        <f t="shared" si="0"/>
        <v>83</v>
      </c>
      <c r="G14" s="42">
        <f t="shared" si="1"/>
        <v>0.15277777777777779</v>
      </c>
      <c r="H14" s="46">
        <f t="shared" si="2"/>
        <v>0.125</v>
      </c>
      <c r="I14" s="44">
        <v>83</v>
      </c>
    </row>
    <row r="15" spans="2:9" ht="21.95" customHeight="1" x14ac:dyDescent="0.25">
      <c r="B15" s="3">
        <v>5</v>
      </c>
      <c r="C15" s="4" t="s">
        <v>23</v>
      </c>
      <c r="D15" s="39">
        <v>64</v>
      </c>
      <c r="E15" s="40">
        <v>4</v>
      </c>
      <c r="F15" s="41">
        <f t="shared" si="0"/>
        <v>68</v>
      </c>
      <c r="G15" s="42">
        <f t="shared" si="1"/>
        <v>6.25E-2</v>
      </c>
      <c r="H15" s="43">
        <f t="shared" si="2"/>
        <v>4.5454545454545456E-2</v>
      </c>
      <c r="I15" s="39">
        <v>68</v>
      </c>
    </row>
    <row r="16" spans="2:9" ht="21.95" customHeight="1" x14ac:dyDescent="0.25">
      <c r="B16" s="5">
        <v>6</v>
      </c>
      <c r="C16" s="6" t="s">
        <v>24</v>
      </c>
      <c r="D16" s="44">
        <v>41</v>
      </c>
      <c r="E16" s="40">
        <v>2</v>
      </c>
      <c r="F16" s="45">
        <f t="shared" si="0"/>
        <v>43</v>
      </c>
      <c r="G16" s="42">
        <f t="shared" si="1"/>
        <v>4.878048780487805E-2</v>
      </c>
      <c r="H16" s="46">
        <f t="shared" si="2"/>
        <v>2.2727272727272728E-2</v>
      </c>
      <c r="I16" s="44">
        <v>43</v>
      </c>
    </row>
    <row r="17" spans="2:9" ht="21.95" customHeight="1" x14ac:dyDescent="0.25">
      <c r="B17" s="3">
        <v>7</v>
      </c>
      <c r="C17" s="4" t="s">
        <v>25</v>
      </c>
      <c r="D17" s="39">
        <v>26</v>
      </c>
      <c r="E17" s="40">
        <v>6</v>
      </c>
      <c r="F17" s="41">
        <f t="shared" si="0"/>
        <v>32</v>
      </c>
      <c r="G17" s="42">
        <f t="shared" si="1"/>
        <v>0.23076923076923078</v>
      </c>
      <c r="H17" s="43">
        <f t="shared" si="2"/>
        <v>6.8181818181818177E-2</v>
      </c>
      <c r="I17" s="39">
        <v>32</v>
      </c>
    </row>
    <row r="18" spans="2:9" ht="21.95" customHeight="1" x14ac:dyDescent="0.25">
      <c r="B18" s="5">
        <v>8</v>
      </c>
      <c r="C18" s="6" t="s">
        <v>26</v>
      </c>
      <c r="D18" s="44">
        <v>0</v>
      </c>
      <c r="E18" s="47">
        <v>0</v>
      </c>
      <c r="F18" s="45">
        <f t="shared" si="0"/>
        <v>0</v>
      </c>
      <c r="G18" s="48">
        <f t="shared" si="1"/>
        <v>0</v>
      </c>
      <c r="H18" s="46">
        <f t="shared" si="2"/>
        <v>0</v>
      </c>
      <c r="I18" s="44">
        <v>0</v>
      </c>
    </row>
    <row r="19" spans="2:9" ht="21.95" customHeight="1" x14ac:dyDescent="0.25">
      <c r="B19" s="3">
        <v>9</v>
      </c>
      <c r="C19" s="4" t="s">
        <v>27</v>
      </c>
      <c r="D19" s="39">
        <v>14</v>
      </c>
      <c r="E19" s="40">
        <v>1</v>
      </c>
      <c r="F19" s="41">
        <f t="shared" si="0"/>
        <v>15</v>
      </c>
      <c r="G19" s="42">
        <f t="shared" si="1"/>
        <v>7.1428571428571425E-2</v>
      </c>
      <c r="H19" s="43">
        <f t="shared" si="2"/>
        <v>1.1363636363636364E-2</v>
      </c>
      <c r="I19" s="39">
        <v>15</v>
      </c>
    </row>
    <row r="20" spans="2:9" ht="24.95" customHeight="1" x14ac:dyDescent="0.25">
      <c r="B20" s="35" t="s">
        <v>28</v>
      </c>
      <c r="C20" s="35"/>
      <c r="D20" s="49">
        <f>SUM(D11:D19)</f>
        <v>736</v>
      </c>
      <c r="E20" s="50">
        <f>SUM(E11:E19)</f>
        <v>88</v>
      </c>
      <c r="F20" s="49">
        <f>SUM(F11:F19)</f>
        <v>824</v>
      </c>
      <c r="G20" s="51">
        <f>IF(D20&gt;0, E20/D20, 0)</f>
        <v>0.11956521739130435</v>
      </c>
      <c r="H20" s="52">
        <f>SUM(H11:H19)</f>
        <v>0.99999999999999989</v>
      </c>
      <c r="I20" s="49">
        <f>SUM(I11:I19)</f>
        <v>826</v>
      </c>
    </row>
    <row r="21" spans="2:9" ht="21.95" customHeight="1" thickTop="1" x14ac:dyDescent="0.25"/>
    <row r="22" spans="2:9" ht="18.75" x14ac:dyDescent="0.45">
      <c r="B22" s="36" t="s">
        <v>30</v>
      </c>
      <c r="C22" s="36"/>
      <c r="D22" s="36"/>
      <c r="E22" s="36"/>
      <c r="F22" s="36"/>
      <c r="G22" s="36"/>
      <c r="H22" s="36"/>
      <c r="I22" s="36"/>
    </row>
    <row r="23" spans="2:9" ht="17.25" x14ac:dyDescent="0.4">
      <c r="B23" s="37" t="s">
        <v>31</v>
      </c>
      <c r="C23" s="37"/>
      <c r="D23" s="37"/>
      <c r="E23" s="37"/>
      <c r="F23" s="37"/>
      <c r="G23" s="37"/>
      <c r="H23" s="37"/>
      <c r="I23" s="37"/>
    </row>
    <row r="24" spans="2:9" ht="17.25" x14ac:dyDescent="0.4">
      <c r="B24" s="37" t="s">
        <v>32</v>
      </c>
      <c r="C24" s="37"/>
      <c r="D24" s="37"/>
      <c r="E24" s="37"/>
      <c r="F24" s="37"/>
      <c r="G24" s="37"/>
      <c r="H24" s="37"/>
      <c r="I24" s="37"/>
    </row>
    <row r="25" spans="2:9" ht="17.25" x14ac:dyDescent="0.4">
      <c r="B25" s="37" t="s">
        <v>33</v>
      </c>
      <c r="C25" s="37"/>
      <c r="D25" s="37"/>
      <c r="E25" s="37"/>
      <c r="F25" s="37"/>
      <c r="G25" s="37"/>
      <c r="H25" s="37"/>
      <c r="I25" s="37"/>
    </row>
    <row r="26" spans="2:9" ht="17.25" x14ac:dyDescent="0.4">
      <c r="B26" s="37" t="s">
        <v>34</v>
      </c>
      <c r="C26" s="37"/>
      <c r="D26" s="37"/>
      <c r="E26" s="37"/>
      <c r="F26" s="37"/>
      <c r="G26" s="37"/>
      <c r="H26" s="37"/>
      <c r="I26" s="37"/>
    </row>
  </sheetData>
  <mergeCells count="21">
    <mergeCell ref="B23:I23"/>
    <mergeCell ref="B24:I24"/>
    <mergeCell ref="B25:I25"/>
    <mergeCell ref="B26:I26"/>
    <mergeCell ref="B9:I9"/>
    <mergeCell ref="B20:C20"/>
    <mergeCell ref="B22:I22"/>
    <mergeCell ref="B6:C6"/>
    <mergeCell ref="D6:E6"/>
    <mergeCell ref="F6:G6"/>
    <mergeCell ref="H6:I6"/>
    <mergeCell ref="B7:C7"/>
    <mergeCell ref="D7:E7"/>
    <mergeCell ref="F7:G7"/>
    <mergeCell ref="H7:I7"/>
    <mergeCell ref="B2:I2"/>
    <mergeCell ref="B3:I3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92"/>
  <sheetViews>
    <sheetView showGridLines="0" workbookViewId="0">
      <pane ySplit="4" topLeftCell="A5" activePane="bottomLeft" state="frozen"/>
      <selection pane="bottomLeft"/>
    </sheetView>
  </sheetViews>
  <sheetFormatPr defaultRowHeight="21.95" customHeight="1" x14ac:dyDescent="0.25"/>
  <cols>
    <col min="1" max="1" width="4" customWidth="1"/>
    <col min="2" max="2" width="6" customWidth="1"/>
    <col min="3" max="3" width="34" customWidth="1"/>
    <col min="4" max="4" width="24" customWidth="1"/>
    <col min="5" max="5" width="20" customWidth="1"/>
    <col min="6" max="6" width="22" customWidth="1"/>
    <col min="7" max="7" width="24" customWidth="1"/>
    <col min="8" max="8" width="18" customWidth="1"/>
    <col min="9" max="9" width="10" customWidth="1"/>
    <col min="10" max="10" width="20" customWidth="1"/>
    <col min="11" max="11" width="14" customWidth="1"/>
    <col min="12" max="12" width="4" customWidth="1"/>
  </cols>
  <sheetData>
    <row r="2" spans="2:11" ht="26.1" customHeight="1" x14ac:dyDescent="0.25">
      <c r="B2" s="38" t="s">
        <v>35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ht="24" customHeight="1" x14ac:dyDescent="0.25">
      <c r="B4" s="7" t="s">
        <v>11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7" t="s">
        <v>41</v>
      </c>
      <c r="I4" s="7" t="s">
        <v>42</v>
      </c>
      <c r="J4" s="7" t="s">
        <v>43</v>
      </c>
      <c r="K4" s="7" t="s">
        <v>44</v>
      </c>
    </row>
    <row r="5" spans="2:11" ht="20.100000000000001" customHeight="1" x14ac:dyDescent="0.25">
      <c r="B5" s="3">
        <v>1</v>
      </c>
      <c r="C5" s="9" t="s">
        <v>45</v>
      </c>
      <c r="D5" s="10" t="s">
        <v>29</v>
      </c>
      <c r="E5" s="10" t="s">
        <v>29</v>
      </c>
      <c r="F5" s="10" t="s">
        <v>46</v>
      </c>
      <c r="G5" s="10" t="s">
        <v>47</v>
      </c>
      <c r="H5" s="3" t="s">
        <v>48</v>
      </c>
      <c r="I5" s="11">
        <v>15</v>
      </c>
      <c r="J5" s="11" t="s">
        <v>49</v>
      </c>
      <c r="K5" s="12" t="s">
        <v>50</v>
      </c>
    </row>
    <row r="6" spans="2:11" ht="20.100000000000001" customHeight="1" x14ac:dyDescent="0.25">
      <c r="B6" s="5">
        <v>2</v>
      </c>
      <c r="C6" s="13" t="s">
        <v>51</v>
      </c>
      <c r="D6" s="14" t="s">
        <v>29</v>
      </c>
      <c r="E6" s="14" t="s">
        <v>29</v>
      </c>
      <c r="F6" s="14" t="s">
        <v>46</v>
      </c>
      <c r="G6" s="14" t="s">
        <v>47</v>
      </c>
      <c r="H6" s="5" t="s">
        <v>52</v>
      </c>
      <c r="I6" s="15">
        <v>14</v>
      </c>
      <c r="J6" s="15" t="s">
        <v>53</v>
      </c>
      <c r="K6" s="12" t="s">
        <v>50</v>
      </c>
    </row>
    <row r="7" spans="2:11" ht="20.100000000000001" customHeight="1" x14ac:dyDescent="0.25">
      <c r="B7" s="3">
        <v>3</v>
      </c>
      <c r="C7" s="9" t="s">
        <v>54</v>
      </c>
      <c r="D7" s="10" t="s">
        <v>23</v>
      </c>
      <c r="E7" s="10" t="s">
        <v>23</v>
      </c>
      <c r="F7" s="10" t="s">
        <v>55</v>
      </c>
      <c r="G7" s="10" t="s">
        <v>55</v>
      </c>
      <c r="H7" s="3" t="s">
        <v>56</v>
      </c>
      <c r="I7" s="11">
        <v>36</v>
      </c>
      <c r="J7" s="11" t="s">
        <v>57</v>
      </c>
      <c r="K7" s="12" t="s">
        <v>50</v>
      </c>
    </row>
    <row r="8" spans="2:11" ht="20.100000000000001" customHeight="1" x14ac:dyDescent="0.25">
      <c r="B8" s="5">
        <v>4</v>
      </c>
      <c r="C8" s="13" t="s">
        <v>58</v>
      </c>
      <c r="D8" s="14" t="s">
        <v>21</v>
      </c>
      <c r="E8" s="14" t="s">
        <v>21</v>
      </c>
      <c r="F8" s="14" t="s">
        <v>59</v>
      </c>
      <c r="G8" s="14" t="s">
        <v>60</v>
      </c>
      <c r="H8" s="5" t="s">
        <v>61</v>
      </c>
      <c r="I8" s="15">
        <v>42</v>
      </c>
      <c r="J8" s="15" t="s">
        <v>62</v>
      </c>
      <c r="K8" s="12" t="s">
        <v>50</v>
      </c>
    </row>
    <row r="9" spans="2:11" ht="20.100000000000001" customHeight="1" x14ac:dyDescent="0.25">
      <c r="B9" s="3">
        <v>5</v>
      </c>
      <c r="C9" s="9" t="s">
        <v>63</v>
      </c>
      <c r="D9" s="10" t="s">
        <v>22</v>
      </c>
      <c r="E9" s="10" t="s">
        <v>22</v>
      </c>
      <c r="F9" s="10" t="s">
        <v>64</v>
      </c>
      <c r="G9" s="10" t="s">
        <v>65</v>
      </c>
      <c r="H9" s="3" t="s">
        <v>66</v>
      </c>
      <c r="I9" s="11">
        <v>23</v>
      </c>
      <c r="J9" s="11" t="s">
        <v>67</v>
      </c>
      <c r="K9" s="12" t="s">
        <v>50</v>
      </c>
    </row>
    <row r="10" spans="2:11" ht="20.100000000000001" customHeight="1" x14ac:dyDescent="0.25">
      <c r="B10" s="5">
        <v>6</v>
      </c>
      <c r="C10" s="13" t="s">
        <v>68</v>
      </c>
      <c r="D10" s="14" t="s">
        <v>29</v>
      </c>
      <c r="E10" s="14" t="s">
        <v>29</v>
      </c>
      <c r="F10" s="14" t="s">
        <v>69</v>
      </c>
      <c r="G10" s="14" t="s">
        <v>70</v>
      </c>
      <c r="H10" s="5" t="s">
        <v>71</v>
      </c>
      <c r="I10" s="15">
        <v>43</v>
      </c>
      <c r="J10" s="15" t="s">
        <v>72</v>
      </c>
      <c r="K10" s="12" t="s">
        <v>50</v>
      </c>
    </row>
    <row r="11" spans="2:11" ht="20.100000000000001" customHeight="1" x14ac:dyDescent="0.25">
      <c r="B11" s="3">
        <v>7</v>
      </c>
      <c r="C11" s="9" t="s">
        <v>73</v>
      </c>
      <c r="D11" s="10" t="s">
        <v>25</v>
      </c>
      <c r="E11" s="10" t="s">
        <v>25</v>
      </c>
      <c r="F11" s="10" t="s">
        <v>74</v>
      </c>
      <c r="G11" s="10" t="s">
        <v>75</v>
      </c>
      <c r="H11" s="3" t="s">
        <v>76</v>
      </c>
      <c r="I11" s="11">
        <v>20</v>
      </c>
      <c r="J11" s="11" t="s">
        <v>77</v>
      </c>
      <c r="K11" s="12" t="s">
        <v>50</v>
      </c>
    </row>
    <row r="12" spans="2:11" ht="20.100000000000001" customHeight="1" x14ac:dyDescent="0.25">
      <c r="B12" s="5">
        <v>8</v>
      </c>
      <c r="C12" s="13" t="s">
        <v>78</v>
      </c>
      <c r="D12" s="14" t="s">
        <v>21</v>
      </c>
      <c r="E12" s="14" t="s">
        <v>21</v>
      </c>
      <c r="F12" s="14" t="s">
        <v>59</v>
      </c>
      <c r="G12" s="14" t="s">
        <v>60</v>
      </c>
      <c r="H12" s="5" t="s">
        <v>79</v>
      </c>
      <c r="I12" s="15">
        <v>43</v>
      </c>
      <c r="J12" s="15" t="s">
        <v>80</v>
      </c>
      <c r="K12" s="12" t="s">
        <v>50</v>
      </c>
    </row>
    <row r="13" spans="2:11" ht="20.100000000000001" customHeight="1" x14ac:dyDescent="0.25">
      <c r="B13" s="3">
        <v>9</v>
      </c>
      <c r="C13" s="9" t="s">
        <v>81</v>
      </c>
      <c r="D13" s="10" t="s">
        <v>21</v>
      </c>
      <c r="E13" s="10" t="s">
        <v>21</v>
      </c>
      <c r="F13" s="10" t="s">
        <v>82</v>
      </c>
      <c r="G13" s="10" t="s">
        <v>82</v>
      </c>
      <c r="H13" s="3" t="s">
        <v>83</v>
      </c>
      <c r="I13" s="11">
        <v>21</v>
      </c>
      <c r="J13" s="11" t="s">
        <v>84</v>
      </c>
      <c r="K13" s="12" t="s">
        <v>50</v>
      </c>
    </row>
    <row r="14" spans="2:11" ht="20.100000000000001" customHeight="1" x14ac:dyDescent="0.25">
      <c r="B14" s="5">
        <v>10</v>
      </c>
      <c r="C14" s="13" t="s">
        <v>85</v>
      </c>
      <c r="D14" s="14" t="s">
        <v>20</v>
      </c>
      <c r="E14" s="14" t="s">
        <v>20</v>
      </c>
      <c r="F14" s="14" t="s">
        <v>59</v>
      </c>
      <c r="G14" s="14" t="s">
        <v>86</v>
      </c>
      <c r="H14" s="5" t="s">
        <v>87</v>
      </c>
      <c r="I14" s="15">
        <v>18</v>
      </c>
      <c r="J14" s="15" t="s">
        <v>88</v>
      </c>
      <c r="K14" s="12" t="s">
        <v>50</v>
      </c>
    </row>
    <row r="15" spans="2:11" ht="20.100000000000001" customHeight="1" x14ac:dyDescent="0.25">
      <c r="B15" s="3">
        <v>11</v>
      </c>
      <c r="C15" s="9" t="s">
        <v>89</v>
      </c>
      <c r="D15" s="10" t="s">
        <v>22</v>
      </c>
      <c r="E15" s="10" t="s">
        <v>22</v>
      </c>
      <c r="F15" s="10" t="s">
        <v>90</v>
      </c>
      <c r="G15" s="10" t="s">
        <v>91</v>
      </c>
      <c r="H15" s="3" t="s">
        <v>92</v>
      </c>
      <c r="I15" s="11">
        <v>18</v>
      </c>
      <c r="J15" s="11" t="s">
        <v>93</v>
      </c>
      <c r="K15" s="12" t="s">
        <v>50</v>
      </c>
    </row>
    <row r="16" spans="2:11" ht="20.100000000000001" customHeight="1" x14ac:dyDescent="0.25">
      <c r="B16" s="5">
        <v>12</v>
      </c>
      <c r="C16" s="13" t="s">
        <v>94</v>
      </c>
      <c r="D16" s="14" t="s">
        <v>29</v>
      </c>
      <c r="E16" s="14" t="s">
        <v>29</v>
      </c>
      <c r="F16" s="14" t="s">
        <v>55</v>
      </c>
      <c r="G16" s="14" t="s">
        <v>95</v>
      </c>
      <c r="H16" s="5" t="s">
        <v>96</v>
      </c>
      <c r="I16" s="15">
        <v>25</v>
      </c>
      <c r="J16" s="15" t="s">
        <v>97</v>
      </c>
      <c r="K16" s="12" t="s">
        <v>50</v>
      </c>
    </row>
    <row r="17" spans="2:11" ht="20.100000000000001" customHeight="1" x14ac:dyDescent="0.25">
      <c r="B17" s="3">
        <v>13</v>
      </c>
      <c r="C17" s="9" t="s">
        <v>98</v>
      </c>
      <c r="D17" s="10" t="s">
        <v>25</v>
      </c>
      <c r="E17" s="10" t="s">
        <v>25</v>
      </c>
      <c r="F17" s="10" t="s">
        <v>55</v>
      </c>
      <c r="G17" s="10" t="s">
        <v>95</v>
      </c>
      <c r="H17" s="3" t="s">
        <v>99</v>
      </c>
      <c r="I17" s="11">
        <v>40</v>
      </c>
      <c r="J17" s="11" t="s">
        <v>100</v>
      </c>
      <c r="K17" s="12" t="s">
        <v>50</v>
      </c>
    </row>
    <row r="18" spans="2:11" ht="20.100000000000001" customHeight="1" x14ac:dyDescent="0.25">
      <c r="B18" s="5">
        <v>14</v>
      </c>
      <c r="C18" s="13" t="s">
        <v>101</v>
      </c>
      <c r="D18" s="14" t="s">
        <v>23</v>
      </c>
      <c r="E18" s="14" t="s">
        <v>23</v>
      </c>
      <c r="F18" s="14" t="s">
        <v>55</v>
      </c>
      <c r="G18" s="14" t="s">
        <v>102</v>
      </c>
      <c r="H18" s="5" t="s">
        <v>103</v>
      </c>
      <c r="I18" s="15">
        <v>23</v>
      </c>
      <c r="J18" s="15" t="s">
        <v>104</v>
      </c>
      <c r="K18" s="12" t="s">
        <v>50</v>
      </c>
    </row>
    <row r="19" spans="2:11" ht="20.100000000000001" customHeight="1" x14ac:dyDescent="0.25">
      <c r="B19" s="3">
        <v>15</v>
      </c>
      <c r="C19" s="9" t="s">
        <v>105</v>
      </c>
      <c r="D19" s="10" t="s">
        <v>20</v>
      </c>
      <c r="E19" s="10" t="s">
        <v>20</v>
      </c>
      <c r="F19" s="10" t="s">
        <v>106</v>
      </c>
      <c r="G19" s="10" t="s">
        <v>70</v>
      </c>
      <c r="H19" s="3" t="s">
        <v>107</v>
      </c>
      <c r="I19" s="11">
        <v>20</v>
      </c>
      <c r="J19" s="11" t="s">
        <v>108</v>
      </c>
      <c r="K19" s="12" t="s">
        <v>50</v>
      </c>
    </row>
    <row r="20" spans="2:11" ht="20.100000000000001" customHeight="1" x14ac:dyDescent="0.25">
      <c r="B20" s="5">
        <v>16</v>
      </c>
      <c r="C20" s="13" t="s">
        <v>109</v>
      </c>
      <c r="D20" s="14" t="s">
        <v>25</v>
      </c>
      <c r="E20" s="14" t="s">
        <v>25</v>
      </c>
      <c r="F20" s="14" t="s">
        <v>74</v>
      </c>
      <c r="G20" s="14" t="s">
        <v>110</v>
      </c>
      <c r="H20" s="5" t="s">
        <v>111</v>
      </c>
      <c r="I20" s="15">
        <v>65</v>
      </c>
      <c r="J20" s="15" t="s">
        <v>112</v>
      </c>
      <c r="K20" s="12" t="s">
        <v>50</v>
      </c>
    </row>
    <row r="21" spans="2:11" ht="20.100000000000001" customHeight="1" x14ac:dyDescent="0.25">
      <c r="B21" s="3">
        <v>17</v>
      </c>
      <c r="C21" s="9" t="s">
        <v>113</v>
      </c>
      <c r="D21" s="10" t="s">
        <v>21</v>
      </c>
      <c r="E21" s="10" t="s">
        <v>21</v>
      </c>
      <c r="F21" s="10" t="s">
        <v>114</v>
      </c>
      <c r="G21" s="10" t="s">
        <v>115</v>
      </c>
      <c r="H21" s="3" t="s">
        <v>116</v>
      </c>
      <c r="I21" s="11">
        <v>26</v>
      </c>
      <c r="J21" s="11" t="s">
        <v>117</v>
      </c>
      <c r="K21" s="12" t="s">
        <v>50</v>
      </c>
    </row>
    <row r="22" spans="2:11" ht="20.100000000000001" customHeight="1" x14ac:dyDescent="0.25">
      <c r="B22" s="5">
        <v>18</v>
      </c>
      <c r="C22" s="13" t="s">
        <v>118</v>
      </c>
      <c r="D22" s="14" t="s">
        <v>21</v>
      </c>
      <c r="E22" s="14" t="s">
        <v>21</v>
      </c>
      <c r="F22" s="14" t="s">
        <v>114</v>
      </c>
      <c r="G22" s="14" t="s">
        <v>119</v>
      </c>
      <c r="H22" s="5" t="s">
        <v>120</v>
      </c>
      <c r="I22" s="15">
        <v>39</v>
      </c>
      <c r="J22" s="15" t="s">
        <v>121</v>
      </c>
      <c r="K22" s="12" t="s">
        <v>50</v>
      </c>
    </row>
    <row r="23" spans="2:11" ht="20.100000000000001" customHeight="1" x14ac:dyDescent="0.25">
      <c r="B23" s="3">
        <v>19</v>
      </c>
      <c r="C23" s="9" t="s">
        <v>122</v>
      </c>
      <c r="D23" s="10" t="s">
        <v>20</v>
      </c>
      <c r="E23" s="10" t="s">
        <v>20</v>
      </c>
      <c r="F23" s="10" t="s">
        <v>46</v>
      </c>
      <c r="G23" s="10" t="s">
        <v>123</v>
      </c>
      <c r="H23" s="3" t="s">
        <v>124</v>
      </c>
      <c r="I23" s="11">
        <v>32</v>
      </c>
      <c r="J23" s="11" t="s">
        <v>125</v>
      </c>
      <c r="K23" s="12" t="s">
        <v>50</v>
      </c>
    </row>
    <row r="24" spans="2:11" ht="20.100000000000001" customHeight="1" x14ac:dyDescent="0.25">
      <c r="B24" s="5">
        <v>20</v>
      </c>
      <c r="C24" s="13" t="s">
        <v>126</v>
      </c>
      <c r="D24" s="14" t="s">
        <v>25</v>
      </c>
      <c r="E24" s="14" t="s">
        <v>25</v>
      </c>
      <c r="F24" s="14" t="s">
        <v>46</v>
      </c>
      <c r="G24" s="14" t="s">
        <v>127</v>
      </c>
      <c r="H24" s="5" t="s">
        <v>128</v>
      </c>
      <c r="I24" s="15">
        <v>27</v>
      </c>
      <c r="J24" s="15" t="s">
        <v>129</v>
      </c>
      <c r="K24" s="12" t="s">
        <v>50</v>
      </c>
    </row>
    <row r="25" spans="2:11" ht="20.100000000000001" customHeight="1" x14ac:dyDescent="0.25">
      <c r="B25" s="3">
        <v>21</v>
      </c>
      <c r="C25" s="9" t="s">
        <v>130</v>
      </c>
      <c r="D25" s="10" t="s">
        <v>22</v>
      </c>
      <c r="E25" s="10" t="s">
        <v>22</v>
      </c>
      <c r="F25" s="10" t="s">
        <v>131</v>
      </c>
      <c r="G25" s="10" t="s">
        <v>132</v>
      </c>
      <c r="H25" s="3" t="s">
        <v>133</v>
      </c>
      <c r="I25" s="11">
        <v>18</v>
      </c>
      <c r="J25" s="11" t="s">
        <v>134</v>
      </c>
      <c r="K25" s="12" t="s">
        <v>50</v>
      </c>
    </row>
    <row r="26" spans="2:11" ht="20.100000000000001" customHeight="1" x14ac:dyDescent="0.25">
      <c r="B26" s="5">
        <v>22</v>
      </c>
      <c r="C26" s="13" t="s">
        <v>135</v>
      </c>
      <c r="D26" s="14" t="s">
        <v>27</v>
      </c>
      <c r="E26" s="14" t="s">
        <v>27</v>
      </c>
      <c r="F26" s="14" t="s">
        <v>74</v>
      </c>
      <c r="G26" s="14" t="s">
        <v>136</v>
      </c>
      <c r="H26" s="5" t="s">
        <v>137</v>
      </c>
      <c r="I26" s="15">
        <v>10</v>
      </c>
      <c r="J26" s="15" t="s">
        <v>138</v>
      </c>
      <c r="K26" s="12" t="s">
        <v>50</v>
      </c>
    </row>
    <row r="27" spans="2:11" ht="20.100000000000001" customHeight="1" x14ac:dyDescent="0.25">
      <c r="B27" s="3">
        <v>23</v>
      </c>
      <c r="C27" s="9" t="s">
        <v>139</v>
      </c>
      <c r="D27" s="10" t="s">
        <v>29</v>
      </c>
      <c r="E27" s="10" t="s">
        <v>29</v>
      </c>
      <c r="F27" s="10" t="s">
        <v>74</v>
      </c>
      <c r="G27" s="10" t="s">
        <v>136</v>
      </c>
      <c r="H27" s="3" t="s">
        <v>140</v>
      </c>
      <c r="I27" s="11">
        <v>36</v>
      </c>
      <c r="J27" s="11" t="s">
        <v>141</v>
      </c>
      <c r="K27" s="12" t="s">
        <v>50</v>
      </c>
    </row>
    <row r="28" spans="2:11" ht="20.100000000000001" customHeight="1" x14ac:dyDescent="0.25">
      <c r="B28" s="5">
        <v>24</v>
      </c>
      <c r="C28" s="13" t="s">
        <v>142</v>
      </c>
      <c r="D28" s="14" t="s">
        <v>25</v>
      </c>
      <c r="E28" s="14" t="s">
        <v>25</v>
      </c>
      <c r="F28" s="14" t="s">
        <v>143</v>
      </c>
      <c r="G28" s="14" t="s">
        <v>143</v>
      </c>
      <c r="H28" s="5" t="s">
        <v>144</v>
      </c>
      <c r="I28" s="15">
        <v>25</v>
      </c>
      <c r="J28" s="15" t="s">
        <v>145</v>
      </c>
      <c r="K28" s="12" t="s">
        <v>50</v>
      </c>
    </row>
    <row r="29" spans="2:11" ht="20.100000000000001" customHeight="1" x14ac:dyDescent="0.25">
      <c r="B29" s="3">
        <v>25</v>
      </c>
      <c r="C29" s="9" t="s">
        <v>146</v>
      </c>
      <c r="D29" s="10" t="s">
        <v>20</v>
      </c>
      <c r="E29" s="10" t="s">
        <v>20</v>
      </c>
      <c r="F29" s="10" t="s">
        <v>59</v>
      </c>
      <c r="G29" s="10" t="s">
        <v>147</v>
      </c>
      <c r="H29" s="3" t="s">
        <v>148</v>
      </c>
      <c r="I29" s="11">
        <v>19</v>
      </c>
      <c r="J29" s="11" t="s">
        <v>149</v>
      </c>
      <c r="K29" s="12" t="s">
        <v>50</v>
      </c>
    </row>
    <row r="30" spans="2:11" ht="20.100000000000001" customHeight="1" x14ac:dyDescent="0.25">
      <c r="B30" s="5">
        <v>26</v>
      </c>
      <c r="C30" s="13" t="s">
        <v>150</v>
      </c>
      <c r="D30" s="14" t="s">
        <v>22</v>
      </c>
      <c r="E30" s="14" t="s">
        <v>22</v>
      </c>
      <c r="F30" s="14" t="s">
        <v>90</v>
      </c>
      <c r="G30" s="14" t="s">
        <v>151</v>
      </c>
      <c r="H30" s="5" t="s">
        <v>152</v>
      </c>
      <c r="I30" s="15">
        <v>13</v>
      </c>
      <c r="J30" s="15" t="s">
        <v>153</v>
      </c>
      <c r="K30" s="12" t="s">
        <v>50</v>
      </c>
    </row>
    <row r="31" spans="2:11" ht="20.100000000000001" customHeight="1" x14ac:dyDescent="0.25">
      <c r="B31" s="3">
        <v>27</v>
      </c>
      <c r="C31" s="9" t="s">
        <v>154</v>
      </c>
      <c r="D31" s="10" t="s">
        <v>21</v>
      </c>
      <c r="E31" s="10" t="s">
        <v>21</v>
      </c>
      <c r="F31" s="10" t="s">
        <v>131</v>
      </c>
      <c r="G31" s="10" t="s">
        <v>60</v>
      </c>
      <c r="H31" s="3" t="s">
        <v>155</v>
      </c>
      <c r="I31" s="11">
        <v>28</v>
      </c>
      <c r="J31" s="11" t="s">
        <v>156</v>
      </c>
      <c r="K31" s="12" t="s">
        <v>50</v>
      </c>
    </row>
    <row r="32" spans="2:11" ht="20.100000000000001" customHeight="1" x14ac:dyDescent="0.25">
      <c r="B32" s="5">
        <v>28</v>
      </c>
      <c r="C32" s="13" t="s">
        <v>157</v>
      </c>
      <c r="D32" s="14" t="s">
        <v>23</v>
      </c>
      <c r="E32" s="14" t="s">
        <v>23</v>
      </c>
      <c r="F32" s="14" t="s">
        <v>46</v>
      </c>
      <c r="G32" s="14" t="s">
        <v>158</v>
      </c>
      <c r="H32" s="5" t="s">
        <v>159</v>
      </c>
      <c r="I32" s="15">
        <v>22</v>
      </c>
      <c r="J32" s="15" t="s">
        <v>160</v>
      </c>
      <c r="K32" s="12" t="s">
        <v>50</v>
      </c>
    </row>
    <row r="33" spans="2:11" ht="20.100000000000001" customHeight="1" x14ac:dyDescent="0.25">
      <c r="B33" s="3">
        <v>29</v>
      </c>
      <c r="C33" s="9" t="s">
        <v>161</v>
      </c>
      <c r="D33" s="10" t="s">
        <v>22</v>
      </c>
      <c r="E33" s="10" t="s">
        <v>22</v>
      </c>
      <c r="F33" s="10" t="s">
        <v>59</v>
      </c>
      <c r="G33" s="10" t="s">
        <v>162</v>
      </c>
      <c r="H33" s="3" t="s">
        <v>163</v>
      </c>
      <c r="I33" s="11">
        <v>17</v>
      </c>
      <c r="J33" s="11" t="s">
        <v>164</v>
      </c>
      <c r="K33" s="12" t="s">
        <v>50</v>
      </c>
    </row>
    <row r="34" spans="2:11" ht="20.100000000000001" customHeight="1" x14ac:dyDescent="0.25">
      <c r="B34" s="5">
        <v>30</v>
      </c>
      <c r="C34" s="13" t="s">
        <v>165</v>
      </c>
      <c r="D34" s="14" t="s">
        <v>29</v>
      </c>
      <c r="E34" s="14" t="s">
        <v>29</v>
      </c>
      <c r="F34" s="14" t="s">
        <v>166</v>
      </c>
      <c r="G34" s="14" t="s">
        <v>167</v>
      </c>
      <c r="H34" s="5" t="s">
        <v>168</v>
      </c>
      <c r="I34" s="15">
        <v>63</v>
      </c>
      <c r="J34" s="15" t="s">
        <v>169</v>
      </c>
      <c r="K34" s="12" t="s">
        <v>50</v>
      </c>
    </row>
    <row r="35" spans="2:11" ht="20.100000000000001" customHeight="1" x14ac:dyDescent="0.25">
      <c r="B35" s="3">
        <v>31</v>
      </c>
      <c r="C35" s="9" t="s">
        <v>170</v>
      </c>
      <c r="D35" s="10" t="s">
        <v>29</v>
      </c>
      <c r="E35" s="10" t="s">
        <v>29</v>
      </c>
      <c r="F35" s="10" t="s">
        <v>166</v>
      </c>
      <c r="G35" s="10" t="s">
        <v>167</v>
      </c>
      <c r="H35" s="3" t="s">
        <v>171</v>
      </c>
      <c r="I35" s="11">
        <v>49</v>
      </c>
      <c r="J35" s="11" t="s">
        <v>172</v>
      </c>
      <c r="K35" s="12" t="s">
        <v>50</v>
      </c>
    </row>
    <row r="36" spans="2:11" ht="20.100000000000001" customHeight="1" x14ac:dyDescent="0.25">
      <c r="B36" s="5">
        <v>32</v>
      </c>
      <c r="C36" s="13" t="s">
        <v>173</v>
      </c>
      <c r="D36" s="14" t="s">
        <v>21</v>
      </c>
      <c r="E36" s="14" t="s">
        <v>21</v>
      </c>
      <c r="F36" s="14" t="s">
        <v>166</v>
      </c>
      <c r="G36" s="14" t="s">
        <v>167</v>
      </c>
      <c r="H36" s="5" t="s">
        <v>174</v>
      </c>
      <c r="I36" s="15">
        <v>19</v>
      </c>
      <c r="J36" s="15" t="s">
        <v>175</v>
      </c>
      <c r="K36" s="12" t="s">
        <v>50</v>
      </c>
    </row>
    <row r="37" spans="2:11" ht="20.100000000000001" customHeight="1" x14ac:dyDescent="0.25">
      <c r="B37" s="3">
        <v>33</v>
      </c>
      <c r="C37" s="9" t="s">
        <v>176</v>
      </c>
      <c r="D37" s="10" t="s">
        <v>20</v>
      </c>
      <c r="E37" s="10" t="s">
        <v>20</v>
      </c>
      <c r="F37" s="10" t="s">
        <v>46</v>
      </c>
      <c r="G37" s="10" t="s">
        <v>177</v>
      </c>
      <c r="H37" s="3" t="s">
        <v>178</v>
      </c>
      <c r="I37" s="11">
        <v>29</v>
      </c>
      <c r="J37" s="11" t="s">
        <v>179</v>
      </c>
      <c r="K37" s="12" t="s">
        <v>50</v>
      </c>
    </row>
    <row r="38" spans="2:11" ht="20.100000000000001" customHeight="1" x14ac:dyDescent="0.25">
      <c r="B38" s="5">
        <v>34</v>
      </c>
      <c r="C38" s="13" t="s">
        <v>180</v>
      </c>
      <c r="D38" s="14" t="s">
        <v>24</v>
      </c>
      <c r="E38" s="14" t="s">
        <v>24</v>
      </c>
      <c r="F38" s="14" t="s">
        <v>131</v>
      </c>
      <c r="G38" s="14" t="s">
        <v>181</v>
      </c>
      <c r="H38" s="5" t="s">
        <v>182</v>
      </c>
      <c r="I38" s="15">
        <v>16</v>
      </c>
      <c r="J38" s="15" t="s">
        <v>183</v>
      </c>
      <c r="K38" s="12" t="s">
        <v>50</v>
      </c>
    </row>
    <row r="39" spans="2:11" ht="20.100000000000001" customHeight="1" x14ac:dyDescent="0.25">
      <c r="B39" s="3">
        <v>35</v>
      </c>
      <c r="C39" s="9" t="s">
        <v>184</v>
      </c>
      <c r="D39" s="10" t="s">
        <v>22</v>
      </c>
      <c r="E39" s="10" t="s">
        <v>22</v>
      </c>
      <c r="F39" s="10" t="s">
        <v>185</v>
      </c>
      <c r="G39" s="10" t="s">
        <v>167</v>
      </c>
      <c r="H39" s="3" t="s">
        <v>186</v>
      </c>
      <c r="I39" s="11">
        <v>32</v>
      </c>
      <c r="J39" s="11" t="s">
        <v>187</v>
      </c>
      <c r="K39" s="12" t="s">
        <v>50</v>
      </c>
    </row>
    <row r="40" spans="2:11" ht="20.100000000000001" customHeight="1" x14ac:dyDescent="0.25">
      <c r="B40" s="5">
        <v>36</v>
      </c>
      <c r="C40" s="13" t="s">
        <v>188</v>
      </c>
      <c r="D40" s="14" t="s">
        <v>21</v>
      </c>
      <c r="E40" s="14" t="s">
        <v>21</v>
      </c>
      <c r="F40" s="14" t="s">
        <v>46</v>
      </c>
      <c r="G40" s="14" t="s">
        <v>189</v>
      </c>
      <c r="H40" s="5" t="s">
        <v>190</v>
      </c>
      <c r="I40" s="15">
        <v>32</v>
      </c>
      <c r="J40" s="15" t="s">
        <v>191</v>
      </c>
      <c r="K40" s="12" t="s">
        <v>50</v>
      </c>
    </row>
    <row r="41" spans="2:11" ht="20.100000000000001" customHeight="1" x14ac:dyDescent="0.25">
      <c r="B41" s="3">
        <v>37</v>
      </c>
      <c r="C41" s="9" t="s">
        <v>192</v>
      </c>
      <c r="D41" s="10" t="s">
        <v>25</v>
      </c>
      <c r="E41" s="10" t="s">
        <v>25</v>
      </c>
      <c r="F41" s="10" t="s">
        <v>59</v>
      </c>
      <c r="G41" s="10" t="s">
        <v>181</v>
      </c>
      <c r="H41" s="3" t="s">
        <v>193</v>
      </c>
      <c r="I41" s="11">
        <v>43</v>
      </c>
      <c r="J41" s="11" t="s">
        <v>194</v>
      </c>
      <c r="K41" s="12" t="s">
        <v>50</v>
      </c>
    </row>
    <row r="42" spans="2:11" ht="20.100000000000001" customHeight="1" x14ac:dyDescent="0.25">
      <c r="B42" s="5">
        <v>38</v>
      </c>
      <c r="C42" s="13" t="s">
        <v>195</v>
      </c>
      <c r="D42" s="14" t="s">
        <v>24</v>
      </c>
      <c r="E42" s="14" t="s">
        <v>24</v>
      </c>
      <c r="F42" s="14" t="s">
        <v>131</v>
      </c>
      <c r="G42" s="14" t="s">
        <v>196</v>
      </c>
      <c r="H42" s="5" t="s">
        <v>197</v>
      </c>
      <c r="I42" s="15">
        <v>14</v>
      </c>
      <c r="J42" s="15" t="s">
        <v>198</v>
      </c>
      <c r="K42" s="12" t="s">
        <v>50</v>
      </c>
    </row>
    <row r="43" spans="2:11" ht="20.100000000000001" customHeight="1" x14ac:dyDescent="0.25">
      <c r="B43" s="3">
        <v>39</v>
      </c>
      <c r="C43" s="9" t="s">
        <v>199</v>
      </c>
      <c r="D43" s="10" t="s">
        <v>20</v>
      </c>
      <c r="E43" s="10" t="s">
        <v>20</v>
      </c>
      <c r="F43" s="10" t="s">
        <v>46</v>
      </c>
      <c r="G43" s="10" t="s">
        <v>200</v>
      </c>
      <c r="H43" s="3" t="s">
        <v>201</v>
      </c>
      <c r="I43" s="11">
        <v>28</v>
      </c>
      <c r="J43" s="11" t="s">
        <v>202</v>
      </c>
      <c r="K43" s="12" t="s">
        <v>50</v>
      </c>
    </row>
    <row r="44" spans="2:11" ht="20.100000000000001" customHeight="1" x14ac:dyDescent="0.25">
      <c r="B44" s="5">
        <v>40</v>
      </c>
      <c r="C44" s="13" t="s">
        <v>203</v>
      </c>
      <c r="D44" s="14" t="s">
        <v>29</v>
      </c>
      <c r="E44" s="14" t="s">
        <v>29</v>
      </c>
      <c r="F44" s="14" t="s">
        <v>59</v>
      </c>
      <c r="G44" s="14" t="s">
        <v>132</v>
      </c>
      <c r="H44" s="5" t="s">
        <v>204</v>
      </c>
      <c r="I44" s="15">
        <v>62</v>
      </c>
      <c r="J44" s="15" t="s">
        <v>205</v>
      </c>
      <c r="K44" s="12" t="s">
        <v>50</v>
      </c>
    </row>
    <row r="45" spans="2:11" ht="20.100000000000001" customHeight="1" x14ac:dyDescent="0.25">
      <c r="B45" s="3">
        <v>41</v>
      </c>
      <c r="C45" s="9" t="s">
        <v>206</v>
      </c>
      <c r="D45" s="10" t="s">
        <v>29</v>
      </c>
      <c r="E45" s="10" t="s">
        <v>29</v>
      </c>
      <c r="F45" s="10" t="s">
        <v>59</v>
      </c>
      <c r="G45" s="10" t="s">
        <v>132</v>
      </c>
      <c r="H45" s="3" t="s">
        <v>207</v>
      </c>
      <c r="I45" s="11">
        <v>60</v>
      </c>
      <c r="J45" s="11" t="s">
        <v>208</v>
      </c>
      <c r="K45" s="12" t="s">
        <v>50</v>
      </c>
    </row>
    <row r="46" spans="2:11" ht="20.100000000000001" customHeight="1" x14ac:dyDescent="0.25">
      <c r="B46" s="5">
        <v>42</v>
      </c>
      <c r="C46" s="13" t="s">
        <v>209</v>
      </c>
      <c r="D46" s="14" t="s">
        <v>20</v>
      </c>
      <c r="E46" s="14" t="s">
        <v>20</v>
      </c>
      <c r="F46" s="14" t="s">
        <v>46</v>
      </c>
      <c r="G46" s="14" t="s">
        <v>210</v>
      </c>
      <c r="H46" s="5" t="s">
        <v>211</v>
      </c>
      <c r="I46" s="15">
        <v>27</v>
      </c>
      <c r="J46" s="15" t="s">
        <v>212</v>
      </c>
      <c r="K46" s="12" t="s">
        <v>50</v>
      </c>
    </row>
    <row r="47" spans="2:11" ht="20.100000000000001" customHeight="1" x14ac:dyDescent="0.25">
      <c r="B47" s="3">
        <v>43</v>
      </c>
      <c r="C47" s="9" t="s">
        <v>213</v>
      </c>
      <c r="D47" s="10" t="s">
        <v>21</v>
      </c>
      <c r="E47" s="10" t="s">
        <v>21</v>
      </c>
      <c r="F47" s="10" t="s">
        <v>82</v>
      </c>
      <c r="G47" s="10" t="s">
        <v>214</v>
      </c>
      <c r="H47" s="3" t="s">
        <v>215</v>
      </c>
      <c r="I47" s="11">
        <v>63</v>
      </c>
      <c r="J47" s="11" t="s">
        <v>216</v>
      </c>
      <c r="K47" s="12" t="s">
        <v>50</v>
      </c>
    </row>
    <row r="48" spans="2:11" ht="20.100000000000001" customHeight="1" x14ac:dyDescent="0.25">
      <c r="B48" s="5">
        <v>44</v>
      </c>
      <c r="C48" s="13" t="s">
        <v>217</v>
      </c>
      <c r="D48" s="14" t="s">
        <v>22</v>
      </c>
      <c r="E48" s="14" t="s">
        <v>22</v>
      </c>
      <c r="F48" s="14" t="s">
        <v>218</v>
      </c>
      <c r="G48" s="14" t="s">
        <v>219</v>
      </c>
      <c r="H48" s="5" t="s">
        <v>220</v>
      </c>
      <c r="I48" s="15">
        <v>22</v>
      </c>
      <c r="J48" s="15" t="s">
        <v>221</v>
      </c>
      <c r="K48" s="12" t="s">
        <v>50</v>
      </c>
    </row>
    <row r="49" spans="2:11" ht="20.100000000000001" customHeight="1" x14ac:dyDescent="0.25">
      <c r="B49" s="3">
        <v>45</v>
      </c>
      <c r="C49" s="9" t="s">
        <v>222</v>
      </c>
      <c r="D49" s="10" t="s">
        <v>22</v>
      </c>
      <c r="E49" s="10" t="s">
        <v>22</v>
      </c>
      <c r="F49" s="10" t="s">
        <v>185</v>
      </c>
      <c r="G49" s="10" t="s">
        <v>167</v>
      </c>
      <c r="H49" s="3" t="s">
        <v>223</v>
      </c>
      <c r="I49" s="11">
        <v>13</v>
      </c>
      <c r="J49" s="11" t="s">
        <v>224</v>
      </c>
      <c r="K49" s="12" t="s">
        <v>50</v>
      </c>
    </row>
    <row r="50" spans="2:11" ht="20.100000000000001" customHeight="1" x14ac:dyDescent="0.25">
      <c r="B50" s="5">
        <v>46</v>
      </c>
      <c r="C50" s="13" t="s">
        <v>225</v>
      </c>
      <c r="D50" s="14" t="s">
        <v>29</v>
      </c>
      <c r="E50" s="14" t="s">
        <v>29</v>
      </c>
      <c r="F50" s="14" t="s">
        <v>166</v>
      </c>
      <c r="G50" s="14" t="s">
        <v>167</v>
      </c>
      <c r="H50" s="5" t="s">
        <v>226</v>
      </c>
      <c r="I50" s="15">
        <v>26</v>
      </c>
      <c r="J50" s="15" t="s">
        <v>227</v>
      </c>
      <c r="K50" s="12" t="s">
        <v>50</v>
      </c>
    </row>
    <row r="51" spans="2:11" ht="20.100000000000001" customHeight="1" x14ac:dyDescent="0.25">
      <c r="B51" s="3">
        <v>47</v>
      </c>
      <c r="C51" s="9" t="s">
        <v>228</v>
      </c>
      <c r="D51" s="10" t="s">
        <v>29</v>
      </c>
      <c r="E51" s="10" t="s">
        <v>29</v>
      </c>
      <c r="F51" s="10" t="s">
        <v>166</v>
      </c>
      <c r="G51" s="10" t="s">
        <v>167</v>
      </c>
      <c r="H51" s="3" t="s">
        <v>229</v>
      </c>
      <c r="I51" s="11">
        <v>34</v>
      </c>
      <c r="J51" s="11" t="s">
        <v>230</v>
      </c>
      <c r="K51" s="12" t="s">
        <v>50</v>
      </c>
    </row>
    <row r="52" spans="2:11" ht="20.100000000000001" customHeight="1" x14ac:dyDescent="0.25">
      <c r="B52" s="5">
        <v>48</v>
      </c>
      <c r="C52" s="13" t="s">
        <v>231</v>
      </c>
      <c r="D52" s="14" t="s">
        <v>21</v>
      </c>
      <c r="E52" s="14" t="s">
        <v>21</v>
      </c>
      <c r="F52" s="14" t="s">
        <v>59</v>
      </c>
      <c r="G52" s="14" t="s">
        <v>232</v>
      </c>
      <c r="H52" s="5" t="s">
        <v>233</v>
      </c>
      <c r="I52" s="15">
        <v>73</v>
      </c>
      <c r="J52" s="15" t="s">
        <v>234</v>
      </c>
      <c r="K52" s="12" t="s">
        <v>50</v>
      </c>
    </row>
    <row r="53" spans="2:11" ht="20.100000000000001" customHeight="1" x14ac:dyDescent="0.25">
      <c r="B53" s="3">
        <v>49</v>
      </c>
      <c r="C53" s="9" t="s">
        <v>235</v>
      </c>
      <c r="D53" s="10" t="s">
        <v>20</v>
      </c>
      <c r="E53" s="10" t="s">
        <v>20</v>
      </c>
      <c r="F53" s="10" t="s">
        <v>59</v>
      </c>
      <c r="G53" s="10" t="s">
        <v>232</v>
      </c>
      <c r="H53" s="3" t="s">
        <v>236</v>
      </c>
      <c r="I53" s="11">
        <v>26</v>
      </c>
      <c r="J53" s="11" t="s">
        <v>237</v>
      </c>
      <c r="K53" s="12" t="s">
        <v>50</v>
      </c>
    </row>
    <row r="54" spans="2:11" ht="20.100000000000001" customHeight="1" x14ac:dyDescent="0.25">
      <c r="B54" s="5">
        <v>50</v>
      </c>
      <c r="C54" s="13" t="s">
        <v>238</v>
      </c>
      <c r="D54" s="14" t="s">
        <v>20</v>
      </c>
      <c r="E54" s="14" t="s">
        <v>20</v>
      </c>
      <c r="F54" s="14" t="s">
        <v>59</v>
      </c>
      <c r="G54" s="14" t="s">
        <v>232</v>
      </c>
      <c r="H54" s="5" t="s">
        <v>239</v>
      </c>
      <c r="I54" s="15">
        <v>13</v>
      </c>
      <c r="J54" s="15" t="s">
        <v>240</v>
      </c>
      <c r="K54" s="12" t="s">
        <v>50</v>
      </c>
    </row>
    <row r="55" spans="2:11" ht="20.100000000000001" customHeight="1" x14ac:dyDescent="0.25">
      <c r="B55" s="3">
        <v>51</v>
      </c>
      <c r="C55" s="9" t="s">
        <v>241</v>
      </c>
      <c r="D55" s="10" t="s">
        <v>21</v>
      </c>
      <c r="E55" s="10" t="s">
        <v>21</v>
      </c>
      <c r="F55" s="10" t="s">
        <v>131</v>
      </c>
      <c r="G55" s="10" t="s">
        <v>60</v>
      </c>
      <c r="H55" s="3" t="s">
        <v>242</v>
      </c>
      <c r="I55" s="11">
        <v>65</v>
      </c>
      <c r="J55" s="11" t="s">
        <v>243</v>
      </c>
      <c r="K55" s="12" t="s">
        <v>50</v>
      </c>
    </row>
    <row r="56" spans="2:11" ht="20.100000000000001" customHeight="1" x14ac:dyDescent="0.25">
      <c r="B56" s="5">
        <v>52</v>
      </c>
      <c r="C56" s="13" t="s">
        <v>244</v>
      </c>
      <c r="D56" s="14" t="s">
        <v>22</v>
      </c>
      <c r="E56" s="14" t="s">
        <v>22</v>
      </c>
      <c r="F56" s="14" t="s">
        <v>185</v>
      </c>
      <c r="G56" s="14" t="s">
        <v>167</v>
      </c>
      <c r="H56" s="5" t="s">
        <v>245</v>
      </c>
      <c r="I56" s="15">
        <v>46</v>
      </c>
      <c r="J56" s="15" t="s">
        <v>246</v>
      </c>
      <c r="K56" s="12" t="s">
        <v>50</v>
      </c>
    </row>
    <row r="57" spans="2:11" ht="20.100000000000001" customHeight="1" x14ac:dyDescent="0.25">
      <c r="B57" s="3">
        <v>53</v>
      </c>
      <c r="C57" s="9" t="s">
        <v>247</v>
      </c>
      <c r="D57" s="10" t="s">
        <v>22</v>
      </c>
      <c r="E57" s="10" t="s">
        <v>22</v>
      </c>
      <c r="F57" s="10" t="s">
        <v>185</v>
      </c>
      <c r="G57" s="10" t="s">
        <v>248</v>
      </c>
      <c r="H57" s="3" t="s">
        <v>249</v>
      </c>
      <c r="I57" s="11">
        <v>13</v>
      </c>
      <c r="J57" s="11" t="s">
        <v>250</v>
      </c>
      <c r="K57" s="12" t="s">
        <v>50</v>
      </c>
    </row>
    <row r="58" spans="2:11" ht="20.100000000000001" customHeight="1" x14ac:dyDescent="0.25">
      <c r="B58" s="5">
        <v>54</v>
      </c>
      <c r="C58" s="13" t="s">
        <v>251</v>
      </c>
      <c r="D58" s="14" t="s">
        <v>29</v>
      </c>
      <c r="E58" s="14" t="s">
        <v>29</v>
      </c>
      <c r="F58" s="14" t="s">
        <v>59</v>
      </c>
      <c r="G58" s="14" t="s">
        <v>252</v>
      </c>
      <c r="H58" s="5" t="s">
        <v>253</v>
      </c>
      <c r="I58" s="15">
        <v>54</v>
      </c>
      <c r="J58" s="15" t="s">
        <v>254</v>
      </c>
      <c r="K58" s="12" t="s">
        <v>50</v>
      </c>
    </row>
    <row r="59" spans="2:11" ht="20.100000000000001" customHeight="1" x14ac:dyDescent="0.25">
      <c r="B59" s="3">
        <v>55</v>
      </c>
      <c r="C59" s="9" t="s">
        <v>255</v>
      </c>
      <c r="D59" s="10" t="s">
        <v>21</v>
      </c>
      <c r="E59" s="10" t="s">
        <v>21</v>
      </c>
      <c r="F59" s="10" t="s">
        <v>218</v>
      </c>
      <c r="G59" s="10" t="s">
        <v>256</v>
      </c>
      <c r="H59" s="3" t="s">
        <v>257</v>
      </c>
      <c r="I59" s="11">
        <v>46</v>
      </c>
      <c r="J59" s="11" t="s">
        <v>258</v>
      </c>
      <c r="K59" s="12" t="s">
        <v>50</v>
      </c>
    </row>
    <row r="60" spans="2:11" ht="20.100000000000001" customHeight="1" x14ac:dyDescent="0.25">
      <c r="B60" s="5">
        <v>56</v>
      </c>
      <c r="C60" s="13" t="s">
        <v>259</v>
      </c>
      <c r="D60" s="14" t="s">
        <v>29</v>
      </c>
      <c r="E60" s="14" t="s">
        <v>29</v>
      </c>
      <c r="F60" s="14" t="s">
        <v>59</v>
      </c>
      <c r="G60" s="14" t="s">
        <v>132</v>
      </c>
      <c r="H60" s="5" t="s">
        <v>260</v>
      </c>
      <c r="I60" s="15">
        <v>15</v>
      </c>
      <c r="J60" s="15" t="s">
        <v>261</v>
      </c>
      <c r="K60" s="12" t="s">
        <v>50</v>
      </c>
    </row>
    <row r="61" spans="2:11" ht="20.100000000000001" customHeight="1" x14ac:dyDescent="0.25">
      <c r="B61" s="3">
        <v>57</v>
      </c>
      <c r="C61" s="9" t="s">
        <v>262</v>
      </c>
      <c r="D61" s="10" t="s">
        <v>29</v>
      </c>
      <c r="E61" s="10" t="s">
        <v>29</v>
      </c>
      <c r="F61" s="10" t="s">
        <v>59</v>
      </c>
      <c r="G61" s="10" t="s">
        <v>263</v>
      </c>
      <c r="H61" s="3" t="s">
        <v>264</v>
      </c>
      <c r="I61" s="11">
        <v>42</v>
      </c>
      <c r="J61" s="11" t="s">
        <v>265</v>
      </c>
      <c r="K61" s="12" t="s">
        <v>50</v>
      </c>
    </row>
    <row r="62" spans="2:11" ht="20.100000000000001" customHeight="1" x14ac:dyDescent="0.25">
      <c r="B62" s="5">
        <v>58</v>
      </c>
      <c r="C62" s="13" t="s">
        <v>266</v>
      </c>
      <c r="D62" s="14" t="s">
        <v>20</v>
      </c>
      <c r="E62" s="14" t="s">
        <v>20</v>
      </c>
      <c r="F62" s="14" t="s">
        <v>267</v>
      </c>
      <c r="G62" s="14" t="s">
        <v>268</v>
      </c>
      <c r="H62" s="5" t="s">
        <v>269</v>
      </c>
      <c r="I62" s="15">
        <v>20</v>
      </c>
      <c r="J62" s="15" t="s">
        <v>270</v>
      </c>
      <c r="K62" s="12" t="s">
        <v>50</v>
      </c>
    </row>
    <row r="63" spans="2:11" ht="20.100000000000001" customHeight="1" x14ac:dyDescent="0.25">
      <c r="B63" s="3">
        <v>59</v>
      </c>
      <c r="C63" s="9" t="s">
        <v>271</v>
      </c>
      <c r="D63" s="10" t="s">
        <v>22</v>
      </c>
      <c r="E63" s="10" t="s">
        <v>22</v>
      </c>
      <c r="F63" s="10" t="s">
        <v>272</v>
      </c>
      <c r="G63" s="10" t="s">
        <v>273</v>
      </c>
      <c r="H63" s="3" t="s">
        <v>274</v>
      </c>
      <c r="I63" s="11">
        <v>30</v>
      </c>
      <c r="J63" s="11" t="s">
        <v>275</v>
      </c>
      <c r="K63" s="12" t="s">
        <v>50</v>
      </c>
    </row>
    <row r="64" spans="2:11" ht="20.100000000000001" customHeight="1" x14ac:dyDescent="0.25">
      <c r="B64" s="5">
        <v>60</v>
      </c>
      <c r="C64" s="13" t="s">
        <v>276</v>
      </c>
      <c r="D64" s="14" t="s">
        <v>20</v>
      </c>
      <c r="E64" s="14" t="s">
        <v>20</v>
      </c>
      <c r="F64" s="14" t="s">
        <v>74</v>
      </c>
      <c r="G64" s="14" t="s">
        <v>277</v>
      </c>
      <c r="H64" s="5" t="s">
        <v>278</v>
      </c>
      <c r="I64" s="15">
        <v>14</v>
      </c>
      <c r="J64" s="15" t="s">
        <v>279</v>
      </c>
      <c r="K64" s="12" t="s">
        <v>50</v>
      </c>
    </row>
    <row r="65" spans="2:11" ht="20.100000000000001" customHeight="1" x14ac:dyDescent="0.25">
      <c r="B65" s="3">
        <v>61</v>
      </c>
      <c r="C65" s="9" t="s">
        <v>280</v>
      </c>
      <c r="D65" s="10" t="s">
        <v>20</v>
      </c>
      <c r="E65" s="10" t="s">
        <v>20</v>
      </c>
      <c r="F65" s="10" t="s">
        <v>114</v>
      </c>
      <c r="G65" s="10" t="s">
        <v>119</v>
      </c>
      <c r="H65" s="3" t="s">
        <v>281</v>
      </c>
      <c r="I65" s="11">
        <v>49</v>
      </c>
      <c r="J65" s="11" t="s">
        <v>282</v>
      </c>
      <c r="K65" s="12" t="s">
        <v>50</v>
      </c>
    </row>
    <row r="66" spans="2:11" ht="20.100000000000001" customHeight="1" x14ac:dyDescent="0.25">
      <c r="B66" s="5">
        <v>62</v>
      </c>
      <c r="C66" s="16" t="s">
        <v>283</v>
      </c>
      <c r="D66" s="14" t="s">
        <v>29</v>
      </c>
      <c r="E66" s="17" t="s">
        <v>26</v>
      </c>
      <c r="F66" s="14" t="s">
        <v>59</v>
      </c>
      <c r="G66" s="14" t="s">
        <v>284</v>
      </c>
      <c r="H66" s="5" t="s">
        <v>285</v>
      </c>
      <c r="I66" s="15">
        <v>24</v>
      </c>
      <c r="J66" s="15" t="s">
        <v>286</v>
      </c>
      <c r="K66" s="12" t="s">
        <v>50</v>
      </c>
    </row>
    <row r="67" spans="2:11" ht="20.100000000000001" customHeight="1" x14ac:dyDescent="0.25">
      <c r="B67" s="3">
        <v>63</v>
      </c>
      <c r="C67" s="9" t="s">
        <v>287</v>
      </c>
      <c r="D67" s="10" t="s">
        <v>20</v>
      </c>
      <c r="E67" s="10" t="s">
        <v>20</v>
      </c>
      <c r="F67" s="10" t="s">
        <v>267</v>
      </c>
      <c r="G67" s="10" t="s">
        <v>268</v>
      </c>
      <c r="H67" s="3" t="s">
        <v>288</v>
      </c>
      <c r="I67" s="11">
        <v>19</v>
      </c>
      <c r="J67" s="11" t="s">
        <v>289</v>
      </c>
      <c r="K67" s="12" t="s">
        <v>50</v>
      </c>
    </row>
    <row r="68" spans="2:11" ht="20.100000000000001" customHeight="1" x14ac:dyDescent="0.25">
      <c r="B68" s="5">
        <v>64</v>
      </c>
      <c r="C68" s="16" t="s">
        <v>290</v>
      </c>
      <c r="D68" s="14" t="s">
        <v>29</v>
      </c>
      <c r="E68" s="17" t="s">
        <v>26</v>
      </c>
      <c r="F68" s="14" t="s">
        <v>59</v>
      </c>
      <c r="G68" s="14" t="s">
        <v>291</v>
      </c>
      <c r="H68" s="5" t="s">
        <v>292</v>
      </c>
      <c r="I68" s="15">
        <v>31</v>
      </c>
      <c r="J68" s="15" t="s">
        <v>293</v>
      </c>
      <c r="K68" s="12" t="s">
        <v>50</v>
      </c>
    </row>
    <row r="69" spans="2:11" ht="20.100000000000001" customHeight="1" x14ac:dyDescent="0.25">
      <c r="B69" s="3">
        <v>65</v>
      </c>
      <c r="C69" s="9" t="s">
        <v>294</v>
      </c>
      <c r="D69" s="10" t="s">
        <v>20</v>
      </c>
      <c r="E69" s="10" t="s">
        <v>20</v>
      </c>
      <c r="F69" s="10" t="s">
        <v>267</v>
      </c>
      <c r="G69" s="10" t="s">
        <v>268</v>
      </c>
      <c r="H69" s="3" t="s">
        <v>295</v>
      </c>
      <c r="I69" s="11">
        <v>18</v>
      </c>
      <c r="J69" s="11" t="s">
        <v>296</v>
      </c>
      <c r="K69" s="12" t="s">
        <v>50</v>
      </c>
    </row>
    <row r="70" spans="2:11" ht="20.100000000000001" customHeight="1" x14ac:dyDescent="0.25">
      <c r="B70" s="5">
        <v>66</v>
      </c>
      <c r="C70" s="13" t="s">
        <v>297</v>
      </c>
      <c r="D70" s="14" t="s">
        <v>29</v>
      </c>
      <c r="E70" s="14" t="s">
        <v>29</v>
      </c>
      <c r="F70" s="14" t="s">
        <v>267</v>
      </c>
      <c r="G70" s="14" t="s">
        <v>298</v>
      </c>
      <c r="H70" s="5" t="s">
        <v>299</v>
      </c>
      <c r="I70" s="15">
        <v>17</v>
      </c>
      <c r="J70" s="15" t="s">
        <v>300</v>
      </c>
      <c r="K70" s="12" t="s">
        <v>50</v>
      </c>
    </row>
    <row r="71" spans="2:11" ht="20.100000000000001" customHeight="1" x14ac:dyDescent="0.25">
      <c r="B71" s="3">
        <v>67</v>
      </c>
      <c r="C71" s="16" t="s">
        <v>301</v>
      </c>
      <c r="D71" s="10" t="s">
        <v>29</v>
      </c>
      <c r="E71" s="17" t="s">
        <v>26</v>
      </c>
      <c r="F71" s="10" t="s">
        <v>46</v>
      </c>
      <c r="G71" s="10" t="s">
        <v>210</v>
      </c>
      <c r="H71" s="3" t="s">
        <v>302</v>
      </c>
      <c r="I71" s="11">
        <v>20</v>
      </c>
      <c r="J71" s="11" t="s">
        <v>303</v>
      </c>
      <c r="K71" s="12" t="s">
        <v>50</v>
      </c>
    </row>
    <row r="72" spans="2:11" ht="20.100000000000001" customHeight="1" x14ac:dyDescent="0.25">
      <c r="B72" s="5">
        <v>68</v>
      </c>
      <c r="C72" s="13" t="s">
        <v>304</v>
      </c>
      <c r="D72" s="14" t="s">
        <v>20</v>
      </c>
      <c r="E72" s="14" t="s">
        <v>20</v>
      </c>
      <c r="F72" s="14" t="s">
        <v>55</v>
      </c>
      <c r="G72" s="14" t="s">
        <v>95</v>
      </c>
      <c r="H72" s="5" t="s">
        <v>305</v>
      </c>
      <c r="I72" s="15">
        <v>43</v>
      </c>
      <c r="J72" s="15" t="s">
        <v>306</v>
      </c>
      <c r="K72" s="12" t="s">
        <v>50</v>
      </c>
    </row>
    <row r="73" spans="2:11" ht="20.100000000000001" customHeight="1" x14ac:dyDescent="0.25">
      <c r="B73" s="3">
        <v>69</v>
      </c>
      <c r="C73" s="9" t="s">
        <v>307</v>
      </c>
      <c r="D73" s="10" t="s">
        <v>20</v>
      </c>
      <c r="E73" s="10" t="s">
        <v>20</v>
      </c>
      <c r="F73" s="10" t="s">
        <v>55</v>
      </c>
      <c r="G73" s="10" t="s">
        <v>95</v>
      </c>
      <c r="H73" s="3" t="s">
        <v>308</v>
      </c>
      <c r="I73" s="11">
        <v>23</v>
      </c>
      <c r="J73" s="11" t="s">
        <v>309</v>
      </c>
      <c r="K73" s="12" t="s">
        <v>50</v>
      </c>
    </row>
    <row r="74" spans="2:11" ht="20.100000000000001" customHeight="1" x14ac:dyDescent="0.25">
      <c r="B74" s="5">
        <v>70</v>
      </c>
      <c r="C74" s="13" t="s">
        <v>310</v>
      </c>
      <c r="D74" s="14" t="s">
        <v>20</v>
      </c>
      <c r="E74" s="14" t="s">
        <v>20</v>
      </c>
      <c r="F74" s="14" t="s">
        <v>267</v>
      </c>
      <c r="G74" s="14" t="s">
        <v>311</v>
      </c>
      <c r="H74" s="5" t="s">
        <v>312</v>
      </c>
      <c r="I74" s="15">
        <v>23</v>
      </c>
      <c r="J74" s="15" t="s">
        <v>313</v>
      </c>
      <c r="K74" s="12" t="s">
        <v>50</v>
      </c>
    </row>
    <row r="75" spans="2:11" ht="20.100000000000001" customHeight="1" x14ac:dyDescent="0.25">
      <c r="B75" s="3">
        <v>71</v>
      </c>
      <c r="C75" s="16" t="s">
        <v>314</v>
      </c>
      <c r="D75" s="10" t="s">
        <v>29</v>
      </c>
      <c r="E75" s="17" t="s">
        <v>26</v>
      </c>
      <c r="F75" s="10" t="s">
        <v>59</v>
      </c>
      <c r="G75" s="10" t="s">
        <v>291</v>
      </c>
      <c r="H75" s="3" t="s">
        <v>315</v>
      </c>
      <c r="I75" s="11">
        <v>27</v>
      </c>
      <c r="J75" s="11" t="s">
        <v>316</v>
      </c>
      <c r="K75" s="12" t="s">
        <v>50</v>
      </c>
    </row>
    <row r="76" spans="2:11" ht="20.100000000000001" customHeight="1" x14ac:dyDescent="0.25">
      <c r="B76" s="5">
        <v>72</v>
      </c>
      <c r="C76" s="13" t="s">
        <v>317</v>
      </c>
      <c r="D76" s="14" t="s">
        <v>20</v>
      </c>
      <c r="E76" s="14" t="s">
        <v>20</v>
      </c>
      <c r="F76" s="14" t="s">
        <v>267</v>
      </c>
      <c r="G76" s="14" t="s">
        <v>268</v>
      </c>
      <c r="H76" s="5" t="s">
        <v>318</v>
      </c>
      <c r="I76" s="15">
        <v>18</v>
      </c>
      <c r="J76" s="15" t="s">
        <v>319</v>
      </c>
      <c r="K76" s="12" t="s">
        <v>50</v>
      </c>
    </row>
    <row r="77" spans="2:11" ht="20.100000000000001" customHeight="1" x14ac:dyDescent="0.25">
      <c r="B77" s="3">
        <v>73</v>
      </c>
      <c r="C77" s="9" t="s">
        <v>320</v>
      </c>
      <c r="D77" s="10" t="s">
        <v>29</v>
      </c>
      <c r="E77" s="10" t="s">
        <v>29</v>
      </c>
      <c r="F77" s="10" t="s">
        <v>267</v>
      </c>
      <c r="G77" s="10" t="s">
        <v>298</v>
      </c>
      <c r="H77" s="3" t="s">
        <v>321</v>
      </c>
      <c r="I77" s="11">
        <v>12</v>
      </c>
      <c r="J77" s="11" t="s">
        <v>322</v>
      </c>
      <c r="K77" s="12" t="s">
        <v>50</v>
      </c>
    </row>
    <row r="78" spans="2:11" ht="20.100000000000001" customHeight="1" x14ac:dyDescent="0.25">
      <c r="B78" s="5">
        <v>74</v>
      </c>
      <c r="C78" s="13" t="s">
        <v>323</v>
      </c>
      <c r="D78" s="14" t="s">
        <v>21</v>
      </c>
      <c r="E78" s="14" t="s">
        <v>21</v>
      </c>
      <c r="F78" s="14" t="s">
        <v>82</v>
      </c>
      <c r="G78" s="14" t="s">
        <v>214</v>
      </c>
      <c r="H78" s="5" t="s">
        <v>324</v>
      </c>
      <c r="I78" s="15">
        <v>38</v>
      </c>
      <c r="J78" s="15" t="s">
        <v>325</v>
      </c>
      <c r="K78" s="12" t="s">
        <v>50</v>
      </c>
    </row>
    <row r="79" spans="2:11" ht="20.100000000000001" customHeight="1" x14ac:dyDescent="0.25">
      <c r="B79" s="3">
        <v>75</v>
      </c>
      <c r="C79" s="9" t="s">
        <v>326</v>
      </c>
      <c r="D79" s="10" t="s">
        <v>20</v>
      </c>
      <c r="E79" s="10" t="s">
        <v>20</v>
      </c>
      <c r="F79" s="10" t="s">
        <v>267</v>
      </c>
      <c r="G79" s="10" t="s">
        <v>268</v>
      </c>
      <c r="H79" s="3" t="s">
        <v>327</v>
      </c>
      <c r="I79" s="11">
        <v>19</v>
      </c>
      <c r="J79" s="11" t="s">
        <v>328</v>
      </c>
      <c r="K79" s="12" t="s">
        <v>50</v>
      </c>
    </row>
    <row r="80" spans="2:11" ht="20.100000000000001" customHeight="1" x14ac:dyDescent="0.25">
      <c r="B80" s="5">
        <v>76</v>
      </c>
      <c r="C80" s="16" t="s">
        <v>329</v>
      </c>
      <c r="D80" s="14" t="s">
        <v>29</v>
      </c>
      <c r="E80" s="17" t="s">
        <v>26</v>
      </c>
      <c r="F80" s="14" t="s">
        <v>59</v>
      </c>
      <c r="G80" s="14" t="s">
        <v>330</v>
      </c>
      <c r="H80" s="5" t="s">
        <v>331</v>
      </c>
      <c r="I80" s="15">
        <v>31</v>
      </c>
      <c r="J80" s="15" t="s">
        <v>332</v>
      </c>
      <c r="K80" s="12" t="s">
        <v>50</v>
      </c>
    </row>
    <row r="81" spans="2:11" ht="20.100000000000001" customHeight="1" x14ac:dyDescent="0.25">
      <c r="B81" s="3">
        <v>77</v>
      </c>
      <c r="C81" s="9" t="s">
        <v>333</v>
      </c>
      <c r="D81" s="10" t="s">
        <v>20</v>
      </c>
      <c r="E81" s="10" t="s">
        <v>20</v>
      </c>
      <c r="F81" s="10" t="s">
        <v>267</v>
      </c>
      <c r="G81" s="10" t="s">
        <v>268</v>
      </c>
      <c r="H81" s="3" t="s">
        <v>334</v>
      </c>
      <c r="I81" s="11">
        <v>34</v>
      </c>
      <c r="J81" s="11" t="s">
        <v>335</v>
      </c>
      <c r="K81" s="12" t="s">
        <v>50</v>
      </c>
    </row>
    <row r="82" spans="2:11" ht="20.100000000000001" customHeight="1" x14ac:dyDescent="0.25">
      <c r="B82" s="5">
        <v>78</v>
      </c>
      <c r="C82" s="13" t="s">
        <v>336</v>
      </c>
      <c r="D82" s="14" t="s">
        <v>20</v>
      </c>
      <c r="E82" s="14" t="s">
        <v>20</v>
      </c>
      <c r="F82" s="14" t="s">
        <v>337</v>
      </c>
      <c r="G82" s="14" t="s">
        <v>338</v>
      </c>
      <c r="H82" s="5" t="s">
        <v>339</v>
      </c>
      <c r="I82" s="15">
        <v>28</v>
      </c>
      <c r="J82" s="15" t="s">
        <v>340</v>
      </c>
      <c r="K82" s="12" t="s">
        <v>50</v>
      </c>
    </row>
    <row r="83" spans="2:11" ht="20.100000000000001" customHeight="1" x14ac:dyDescent="0.25">
      <c r="B83" s="3">
        <v>79</v>
      </c>
      <c r="C83" s="9" t="s">
        <v>341</v>
      </c>
      <c r="D83" s="10" t="s">
        <v>20</v>
      </c>
      <c r="E83" s="10" t="s">
        <v>20</v>
      </c>
      <c r="F83" s="10" t="s">
        <v>337</v>
      </c>
      <c r="G83" s="10" t="s">
        <v>338</v>
      </c>
      <c r="H83" s="3" t="s">
        <v>342</v>
      </c>
      <c r="I83" s="11">
        <v>22</v>
      </c>
      <c r="J83" s="11" t="s">
        <v>343</v>
      </c>
      <c r="K83" s="12" t="s">
        <v>50</v>
      </c>
    </row>
    <row r="84" spans="2:11" ht="20.100000000000001" customHeight="1" x14ac:dyDescent="0.25">
      <c r="B84" s="5">
        <v>80</v>
      </c>
      <c r="C84" s="16" t="s">
        <v>344</v>
      </c>
      <c r="D84" s="14" t="s">
        <v>29</v>
      </c>
      <c r="E84" s="17" t="s">
        <v>26</v>
      </c>
      <c r="F84" s="14" t="s">
        <v>59</v>
      </c>
      <c r="G84" s="14" t="s">
        <v>291</v>
      </c>
      <c r="H84" s="5" t="s">
        <v>345</v>
      </c>
      <c r="I84" s="15">
        <v>23</v>
      </c>
      <c r="J84" s="15" t="s">
        <v>346</v>
      </c>
      <c r="K84" s="12" t="s">
        <v>50</v>
      </c>
    </row>
    <row r="85" spans="2:11" ht="20.100000000000001" customHeight="1" x14ac:dyDescent="0.25">
      <c r="B85" s="3">
        <v>81</v>
      </c>
      <c r="C85" s="9" t="s">
        <v>347</v>
      </c>
      <c r="D85" s="10" t="s">
        <v>20</v>
      </c>
      <c r="E85" s="10" t="s">
        <v>20</v>
      </c>
      <c r="F85" s="10" t="s">
        <v>337</v>
      </c>
      <c r="G85" s="10" t="s">
        <v>337</v>
      </c>
      <c r="H85" s="3" t="s">
        <v>348</v>
      </c>
      <c r="I85" s="11">
        <v>27</v>
      </c>
      <c r="J85" s="11" t="s">
        <v>349</v>
      </c>
      <c r="K85" s="12" t="s">
        <v>50</v>
      </c>
    </row>
    <row r="86" spans="2:11" ht="20.100000000000001" customHeight="1" x14ac:dyDescent="0.25">
      <c r="B86" s="5">
        <v>82</v>
      </c>
      <c r="C86" s="16" t="s">
        <v>350</v>
      </c>
      <c r="D86" s="14" t="s">
        <v>29</v>
      </c>
      <c r="E86" s="17" t="s">
        <v>26</v>
      </c>
      <c r="F86" s="14" t="s">
        <v>59</v>
      </c>
      <c r="G86" s="14" t="s">
        <v>291</v>
      </c>
      <c r="H86" s="5" t="s">
        <v>351</v>
      </c>
      <c r="I86" s="15">
        <v>21</v>
      </c>
      <c r="J86" s="15" t="s">
        <v>352</v>
      </c>
      <c r="K86" s="12" t="s">
        <v>50</v>
      </c>
    </row>
    <row r="87" spans="2:11" ht="20.100000000000001" customHeight="1" x14ac:dyDescent="0.25">
      <c r="B87" s="3">
        <v>83</v>
      </c>
      <c r="C87" s="16" t="s">
        <v>353</v>
      </c>
      <c r="D87" s="10" t="s">
        <v>29</v>
      </c>
      <c r="E87" s="17" t="s">
        <v>26</v>
      </c>
      <c r="F87" s="10" t="s">
        <v>59</v>
      </c>
      <c r="G87" s="10" t="s">
        <v>291</v>
      </c>
      <c r="H87" s="3" t="s">
        <v>354</v>
      </c>
      <c r="I87" s="11">
        <v>31</v>
      </c>
      <c r="J87" s="11" t="s">
        <v>355</v>
      </c>
      <c r="K87" s="12" t="s">
        <v>50</v>
      </c>
    </row>
    <row r="88" spans="2:11" ht="20.100000000000001" customHeight="1" x14ac:dyDescent="0.25">
      <c r="B88" s="5">
        <v>84</v>
      </c>
      <c r="C88" s="16" t="s">
        <v>356</v>
      </c>
      <c r="D88" s="14" t="s">
        <v>29</v>
      </c>
      <c r="E88" s="17" t="s">
        <v>26</v>
      </c>
      <c r="F88" s="14" t="s">
        <v>59</v>
      </c>
      <c r="G88" s="14" t="s">
        <v>291</v>
      </c>
      <c r="H88" s="5" t="s">
        <v>357</v>
      </c>
      <c r="I88" s="15">
        <v>31</v>
      </c>
      <c r="J88" s="15" t="s">
        <v>358</v>
      </c>
      <c r="K88" s="12" t="s">
        <v>50</v>
      </c>
    </row>
    <row r="89" spans="2:11" ht="20.100000000000001" customHeight="1" x14ac:dyDescent="0.25">
      <c r="B89" s="3">
        <v>85</v>
      </c>
      <c r="C89" s="16" t="s">
        <v>359</v>
      </c>
      <c r="D89" s="10" t="s">
        <v>29</v>
      </c>
      <c r="E89" s="17" t="s">
        <v>26</v>
      </c>
      <c r="F89" s="10" t="s">
        <v>90</v>
      </c>
      <c r="G89" s="10" t="s">
        <v>360</v>
      </c>
      <c r="H89" s="3" t="s">
        <v>361</v>
      </c>
      <c r="I89" s="11">
        <v>24</v>
      </c>
      <c r="J89" s="11" t="s">
        <v>362</v>
      </c>
      <c r="K89" s="12" t="s">
        <v>50</v>
      </c>
    </row>
    <row r="90" spans="2:11" ht="20.100000000000001" customHeight="1" x14ac:dyDescent="0.25">
      <c r="B90" s="5">
        <v>86</v>
      </c>
      <c r="C90" s="16" t="s">
        <v>363</v>
      </c>
      <c r="D90" s="14" t="s">
        <v>29</v>
      </c>
      <c r="E90" s="17" t="s">
        <v>26</v>
      </c>
      <c r="F90" s="14" t="s">
        <v>59</v>
      </c>
      <c r="G90" s="14" t="s">
        <v>291</v>
      </c>
      <c r="H90" s="5" t="s">
        <v>364</v>
      </c>
      <c r="I90" s="15">
        <v>28</v>
      </c>
      <c r="J90" s="15" t="s">
        <v>365</v>
      </c>
      <c r="K90" s="12" t="s">
        <v>50</v>
      </c>
    </row>
    <row r="91" spans="2:11" ht="20.100000000000001" customHeight="1" x14ac:dyDescent="0.25">
      <c r="B91" s="3">
        <v>87</v>
      </c>
      <c r="C91" s="9" t="s">
        <v>366</v>
      </c>
      <c r="D91" s="10" t="s">
        <v>29</v>
      </c>
      <c r="E91" s="10" t="s">
        <v>29</v>
      </c>
      <c r="F91" s="10" t="s">
        <v>267</v>
      </c>
      <c r="G91" s="10" t="s">
        <v>298</v>
      </c>
      <c r="H91" s="3" t="s">
        <v>367</v>
      </c>
      <c r="I91" s="11">
        <v>16</v>
      </c>
      <c r="J91" s="11" t="s">
        <v>368</v>
      </c>
      <c r="K91" s="12" t="s">
        <v>50</v>
      </c>
    </row>
    <row r="92" spans="2:11" ht="20.100000000000001" customHeight="1" x14ac:dyDescent="0.25">
      <c r="B92" s="5">
        <v>88</v>
      </c>
      <c r="C92" s="13" t="s">
        <v>369</v>
      </c>
      <c r="D92" s="14" t="s">
        <v>23</v>
      </c>
      <c r="E92" s="14" t="s">
        <v>23</v>
      </c>
      <c r="F92" s="14" t="s">
        <v>218</v>
      </c>
      <c r="G92" s="14" t="s">
        <v>370</v>
      </c>
      <c r="H92" s="5" t="s">
        <v>371</v>
      </c>
      <c r="I92" s="15">
        <v>22</v>
      </c>
      <c r="J92" s="15" t="s">
        <v>372</v>
      </c>
      <c r="K92" s="12" t="s">
        <v>50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2"/>
  <sheetViews>
    <sheetView showGridLines="0" workbookViewId="0"/>
  </sheetViews>
  <sheetFormatPr defaultRowHeight="20.100000000000001" customHeight="1" x14ac:dyDescent="0.25"/>
  <cols>
    <col min="1" max="1" width="4" customWidth="1"/>
    <col min="2" max="2" width="6" customWidth="1"/>
    <col min="3" max="5" width="24" customWidth="1"/>
    <col min="6" max="6" width="22" customWidth="1"/>
    <col min="7" max="7" width="4" customWidth="1"/>
  </cols>
  <sheetData>
    <row r="2" spans="2:6" ht="26.1" customHeight="1" x14ac:dyDescent="0.25">
      <c r="B2" s="38" t="s">
        <v>373</v>
      </c>
      <c r="C2" s="38"/>
      <c r="D2" s="38"/>
      <c r="E2" s="38"/>
      <c r="F2" s="38"/>
    </row>
    <row r="4" spans="2:6" ht="24" customHeight="1" x14ac:dyDescent="0.25">
      <c r="B4" s="7" t="s">
        <v>11</v>
      </c>
      <c r="C4" s="8" t="s">
        <v>374</v>
      </c>
      <c r="D4" s="7" t="s">
        <v>375</v>
      </c>
      <c r="E4" s="7" t="s">
        <v>376</v>
      </c>
      <c r="F4" s="7" t="s">
        <v>377</v>
      </c>
    </row>
    <row r="5" spans="2:6" ht="20.100000000000001" customHeight="1" x14ac:dyDescent="0.25">
      <c r="B5" s="3">
        <v>1</v>
      </c>
      <c r="C5" s="9" t="s">
        <v>378</v>
      </c>
      <c r="D5" s="39">
        <v>477</v>
      </c>
      <c r="E5" s="41">
        <v>477</v>
      </c>
      <c r="F5" s="43">
        <v>0.57748184019370463</v>
      </c>
    </row>
    <row r="6" spans="2:6" ht="20.100000000000001" customHeight="1" x14ac:dyDescent="0.25">
      <c r="B6" s="5">
        <v>2</v>
      </c>
      <c r="C6" s="13" t="s">
        <v>379</v>
      </c>
      <c r="D6" s="44">
        <v>31</v>
      </c>
      <c r="E6" s="45">
        <v>508</v>
      </c>
      <c r="F6" s="46">
        <v>3.7530266343825669E-2</v>
      </c>
    </row>
    <row r="7" spans="2:6" ht="20.100000000000001" customHeight="1" x14ac:dyDescent="0.25">
      <c r="B7" s="3">
        <v>3</v>
      </c>
      <c r="C7" s="9" t="s">
        <v>380</v>
      </c>
      <c r="D7" s="39">
        <v>35</v>
      </c>
      <c r="E7" s="41">
        <v>543</v>
      </c>
      <c r="F7" s="43">
        <v>4.2372881355932202E-2</v>
      </c>
    </row>
    <row r="8" spans="2:6" ht="20.100000000000001" customHeight="1" x14ac:dyDescent="0.25">
      <c r="B8" s="5">
        <v>4</v>
      </c>
      <c r="C8" s="13" t="s">
        <v>381</v>
      </c>
      <c r="D8" s="44">
        <v>46</v>
      </c>
      <c r="E8" s="45">
        <v>589</v>
      </c>
      <c r="F8" s="46">
        <v>5.569007263922518E-2</v>
      </c>
    </row>
    <row r="9" spans="2:6" ht="20.100000000000001" customHeight="1" x14ac:dyDescent="0.25">
      <c r="B9" s="3">
        <v>5</v>
      </c>
      <c r="C9" s="9" t="s">
        <v>382</v>
      </c>
      <c r="D9" s="39">
        <v>12</v>
      </c>
      <c r="E9" s="41">
        <v>601</v>
      </c>
      <c r="F9" s="43">
        <v>1.4527845036319613E-2</v>
      </c>
    </row>
    <row r="10" spans="2:6" ht="20.100000000000001" customHeight="1" x14ac:dyDescent="0.25">
      <c r="B10" s="5">
        <v>6</v>
      </c>
      <c r="C10" s="13" t="s">
        <v>383</v>
      </c>
      <c r="D10" s="44">
        <v>32</v>
      </c>
      <c r="E10" s="45">
        <v>633</v>
      </c>
      <c r="F10" s="46">
        <v>3.8740920096852302E-2</v>
      </c>
    </row>
    <row r="11" spans="2:6" ht="20.100000000000001" customHeight="1" x14ac:dyDescent="0.25">
      <c r="B11" s="3">
        <v>7</v>
      </c>
      <c r="C11" s="9" t="s">
        <v>384</v>
      </c>
      <c r="D11" s="39">
        <v>31</v>
      </c>
      <c r="E11" s="41">
        <v>664</v>
      </c>
      <c r="F11" s="43">
        <v>3.7530266343825669E-2</v>
      </c>
    </row>
    <row r="12" spans="2:6" ht="20.100000000000001" customHeight="1" x14ac:dyDescent="0.25">
      <c r="B12" s="5">
        <v>8</v>
      </c>
      <c r="C12" s="13" t="s">
        <v>385</v>
      </c>
      <c r="D12" s="44">
        <v>7</v>
      </c>
      <c r="E12" s="45">
        <v>671</v>
      </c>
      <c r="F12" s="46">
        <v>8.4745762711864406E-3</v>
      </c>
    </row>
    <row r="13" spans="2:6" ht="20.100000000000001" customHeight="1" x14ac:dyDescent="0.25">
      <c r="B13" s="3">
        <v>9</v>
      </c>
      <c r="C13" s="9" t="s">
        <v>386</v>
      </c>
      <c r="D13" s="39">
        <v>5</v>
      </c>
      <c r="E13" s="41">
        <v>676</v>
      </c>
      <c r="F13" s="43">
        <v>6.0532687651331718E-3</v>
      </c>
    </row>
    <row r="14" spans="2:6" ht="20.100000000000001" customHeight="1" x14ac:dyDescent="0.25">
      <c r="B14" s="5">
        <v>10</v>
      </c>
      <c r="C14" s="13" t="s">
        <v>387</v>
      </c>
      <c r="D14" s="44">
        <v>15</v>
      </c>
      <c r="E14" s="45">
        <v>691</v>
      </c>
      <c r="F14" s="46">
        <v>1.8159806295399514E-2</v>
      </c>
    </row>
    <row r="15" spans="2:6" ht="20.100000000000001" customHeight="1" x14ac:dyDescent="0.25">
      <c r="B15" s="3">
        <v>11</v>
      </c>
      <c r="C15" s="9" t="s">
        <v>388</v>
      </c>
      <c r="D15" s="39">
        <v>9</v>
      </c>
      <c r="E15" s="41">
        <v>700</v>
      </c>
      <c r="F15" s="43">
        <v>1.0895883777239709E-2</v>
      </c>
    </row>
    <row r="16" spans="2:6" ht="20.100000000000001" customHeight="1" x14ac:dyDescent="0.25">
      <c r="B16" s="5">
        <v>12</v>
      </c>
      <c r="C16" s="13" t="s">
        <v>389</v>
      </c>
      <c r="D16" s="44">
        <v>7</v>
      </c>
      <c r="E16" s="45">
        <v>707</v>
      </c>
      <c r="F16" s="46">
        <v>8.4745762711864406E-3</v>
      </c>
    </row>
    <row r="17" spans="2:6" ht="20.100000000000001" customHeight="1" x14ac:dyDescent="0.25">
      <c r="B17" s="3">
        <v>13</v>
      </c>
      <c r="C17" s="9" t="s">
        <v>390</v>
      </c>
      <c r="D17" s="39">
        <v>6</v>
      </c>
      <c r="E17" s="41">
        <v>713</v>
      </c>
      <c r="F17" s="43">
        <v>7.2639225181598066E-3</v>
      </c>
    </row>
    <row r="18" spans="2:6" ht="20.100000000000001" customHeight="1" x14ac:dyDescent="0.25">
      <c r="B18" s="5">
        <v>14</v>
      </c>
      <c r="C18" s="13" t="s">
        <v>391</v>
      </c>
      <c r="D18" s="44">
        <v>1</v>
      </c>
      <c r="E18" s="45">
        <v>714</v>
      </c>
      <c r="F18" s="46">
        <v>1.2106537530266344E-3</v>
      </c>
    </row>
    <row r="19" spans="2:6" ht="20.100000000000001" customHeight="1" x14ac:dyDescent="0.25">
      <c r="B19" s="3">
        <v>15</v>
      </c>
      <c r="C19" s="9" t="s">
        <v>392</v>
      </c>
      <c r="D19" s="39">
        <v>22</v>
      </c>
      <c r="E19" s="41">
        <v>736</v>
      </c>
      <c r="F19" s="43">
        <v>2.6634382566585957E-2</v>
      </c>
    </row>
    <row r="20" spans="2:6" ht="20.100000000000001" customHeight="1" x14ac:dyDescent="0.25">
      <c r="B20" s="18">
        <v>16</v>
      </c>
      <c r="C20" s="19" t="s">
        <v>393</v>
      </c>
      <c r="D20" s="40">
        <v>88</v>
      </c>
      <c r="E20" s="53">
        <v>824</v>
      </c>
      <c r="F20" s="54">
        <v>0.10653753026634383</v>
      </c>
    </row>
    <row r="21" spans="2:6" ht="20.100000000000001" customHeight="1" x14ac:dyDescent="0.25">
      <c r="B21" s="3">
        <v>17</v>
      </c>
      <c r="C21" s="9" t="s">
        <v>394</v>
      </c>
      <c r="D21" s="39">
        <v>2</v>
      </c>
      <c r="E21" s="41">
        <v>826</v>
      </c>
      <c r="F21" s="43">
        <v>2.4213075060532689E-3</v>
      </c>
    </row>
    <row r="22" spans="2:6" ht="24" customHeight="1" x14ac:dyDescent="0.25">
      <c r="B22" s="35" t="s">
        <v>395</v>
      </c>
      <c r="C22" s="35"/>
      <c r="D22" s="49">
        <f>SUM(D5:D21)</f>
        <v>826</v>
      </c>
      <c r="E22" s="49">
        <v>826</v>
      </c>
      <c r="F22" s="52">
        <v>1</v>
      </c>
    </row>
  </sheetData>
  <mergeCells count="2">
    <mergeCell ref="B2:F2"/>
    <mergeCell ref="B22:C2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por Comité</vt:lpstr>
      <vt:lpstr>Voluntarios Ingresados Ayer</vt:lpstr>
      <vt:lpstr>Histórico Diario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2026-08-17T16:25:48Z</dcterms:created>
  <dcterms:modified xsi:type="dcterms:W3CDTF">2026-08-17T16:30:02Z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2026-08-17T16:29:59Z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a5c3ff20-9898-448e-889e-c59ef0a69f39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